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0790A532-80DE-47EA-B5B3-F9671F649AB3}" xr6:coauthVersionLast="47" xr6:coauthVersionMax="47" xr10:uidLastSave="{00000000-0000-0000-0000-000000000000}"/>
  <bookViews>
    <workbookView xWindow="-108" yWindow="-108" windowWidth="23256" windowHeight="12456" firstSheet="1" activeTab="5" xr2:uid="{00000000-000D-0000-FFFF-FFFF00000000}"/>
  </bookViews>
  <sheets>
    <sheet name="Data" sheetId="1" r:id="rId1"/>
    <sheet name="FP&amp;A Summary" sheetId="2" r:id="rId2"/>
    <sheet name="Pivot_category driver summary" sheetId="5" r:id="rId3"/>
    <sheet name="Pivot_Month_Trend" sheetId="6" r:id="rId4"/>
    <sheet name="Pivot_KPI Summary" sheetId="7" r:id="rId5"/>
    <sheet name="Dashboard" sheetId="8" r:id="rId6"/>
  </sheets>
  <definedNames>
    <definedName name="Slicer_Month">#N/A</definedName>
  </definedNames>
  <calcPr calcId="191029"/>
  <pivotCaches>
    <pivotCache cacheId="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2" l="1"/>
  <c r="B2" i="8"/>
  <c r="B11" i="2"/>
  <c r="I13" i="1"/>
  <c r="B15" i="2"/>
  <c r="C15" i="2"/>
  <c r="C14" i="2"/>
  <c r="B14" i="2"/>
  <c r="C13" i="2"/>
  <c r="B13" i="2"/>
  <c r="C11" i="2"/>
  <c r="C12" i="2"/>
  <c r="B12" i="2"/>
  <c r="I3" i="1"/>
  <c r="I4" i="1"/>
  <c r="I5" i="1"/>
  <c r="I6" i="1"/>
  <c r="I7" i="1"/>
  <c r="I8" i="1"/>
  <c r="I9" i="1"/>
  <c r="I10" i="1"/>
  <c r="I11" i="1"/>
  <c r="I12"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F11" i="1"/>
  <c r="G11" i="1" s="1"/>
  <c r="I2" i="1"/>
  <c r="F2" i="1"/>
  <c r="G2" i="1" s="1"/>
  <c r="F3" i="1"/>
  <c r="G3" i="1" s="1"/>
  <c r="F4" i="1"/>
  <c r="G4" i="1" s="1"/>
  <c r="F5" i="1"/>
  <c r="G5" i="1" s="1"/>
  <c r="F6" i="1"/>
  <c r="G6" i="1" s="1"/>
  <c r="F7" i="1"/>
  <c r="G7" i="1" s="1"/>
  <c r="F8" i="1"/>
  <c r="G8" i="1" s="1"/>
  <c r="F9" i="1"/>
  <c r="G9" i="1" s="1"/>
  <c r="F10" i="1"/>
  <c r="G10"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0" i="1"/>
  <c r="G50" i="1" s="1"/>
  <c r="F51" i="1"/>
  <c r="G51" i="1" s="1"/>
  <c r="F52" i="1"/>
  <c r="G52" i="1" s="1"/>
  <c r="F53" i="1"/>
  <c r="G53" i="1" s="1"/>
  <c r="F54" i="1"/>
  <c r="G54" i="1" s="1"/>
  <c r="F55" i="1"/>
  <c r="G55" i="1" s="1"/>
  <c r="F56" i="1"/>
  <c r="G56" i="1" s="1"/>
  <c r="F57" i="1"/>
  <c r="G57" i="1" s="1"/>
  <c r="F58" i="1"/>
  <c r="G58" i="1" s="1"/>
  <c r="F59" i="1"/>
  <c r="G59" i="1" s="1"/>
  <c r="F60" i="1"/>
  <c r="G60" i="1" s="1"/>
  <c r="F61" i="1"/>
  <c r="G61" i="1" s="1"/>
  <c r="B8" i="8" l="1"/>
  <c r="D11" i="2"/>
  <c r="E11" i="2" s="1"/>
  <c r="B2" i="2"/>
  <c r="B3" i="8" s="1"/>
  <c r="B7" i="2"/>
  <c r="B6" i="8" s="1"/>
  <c r="B3" i="2"/>
  <c r="B4" i="8" s="1"/>
  <c r="B6" i="2"/>
  <c r="B5" i="8" s="1"/>
  <c r="D14" i="2"/>
  <c r="D12" i="2"/>
  <c r="D13" i="2"/>
  <c r="D15" i="2"/>
  <c r="B7" i="8" l="1"/>
  <c r="F11" i="2"/>
  <c r="E13" i="2"/>
  <c r="F13" i="2"/>
  <c r="E12" i="2"/>
  <c r="F12" i="2"/>
  <c r="E14" i="2"/>
  <c r="F14" i="2"/>
  <c r="E15" i="2"/>
  <c r="F15" i="2"/>
</calcChain>
</file>

<file path=xl/sharedStrings.xml><?xml version="1.0" encoding="utf-8"?>
<sst xmlns="http://schemas.openxmlformats.org/spreadsheetml/2006/main" count="265" uniqueCount="51">
  <si>
    <t>Month</t>
  </si>
  <si>
    <t>Budget</t>
  </si>
  <si>
    <t>Actual</t>
  </si>
  <si>
    <t>Variance ₹</t>
  </si>
  <si>
    <t>Variance %</t>
  </si>
  <si>
    <t>Category</t>
  </si>
  <si>
    <t>Type</t>
  </si>
  <si>
    <t>May</t>
  </si>
  <si>
    <t>Admin Expense</t>
  </si>
  <si>
    <t>March</t>
  </si>
  <si>
    <t>April</t>
  </si>
  <si>
    <t>June</t>
  </si>
  <si>
    <t>July</t>
  </si>
  <si>
    <t>August</t>
  </si>
  <si>
    <t>September</t>
  </si>
  <si>
    <t>October</t>
  </si>
  <si>
    <t>November</t>
  </si>
  <si>
    <t>December</t>
  </si>
  <si>
    <t>January</t>
  </si>
  <si>
    <t>Revenue</t>
  </si>
  <si>
    <t>Salary</t>
  </si>
  <si>
    <t>Marketing</t>
  </si>
  <si>
    <t>IT Expense</t>
  </si>
  <si>
    <t>Cost</t>
  </si>
  <si>
    <t>Result</t>
  </si>
  <si>
    <t>Total Revenue Variance</t>
  </si>
  <si>
    <t>Total Cost Variance</t>
  </si>
  <si>
    <t>Net P&amp;L Impact</t>
  </si>
  <si>
    <t>No. of Favorable Items</t>
  </si>
  <si>
    <t>No. of Unfavorable Items</t>
  </si>
  <si>
    <t xml:space="preserve"> Variance %</t>
  </si>
  <si>
    <t>Row Labels</t>
  </si>
  <si>
    <t>Grand Total</t>
  </si>
  <si>
    <t>Sum of Budget</t>
  </si>
  <si>
    <t>Sum of Actual</t>
  </si>
  <si>
    <t>Sum of Variance ₹</t>
  </si>
  <si>
    <t>Column Labels</t>
  </si>
  <si>
    <t>Favorable</t>
  </si>
  <si>
    <t>Unfavorable</t>
  </si>
  <si>
    <t>Count of Result</t>
  </si>
  <si>
    <t xml:space="preserve">Favorable Items </t>
  </si>
  <si>
    <t>Unfavorable Items</t>
  </si>
  <si>
    <t>February</t>
  </si>
  <si>
    <t>Variance % Overall</t>
  </si>
  <si>
    <t>Biggest Problem Category</t>
  </si>
  <si>
    <t>Key Insights</t>
  </si>
  <si>
    <t>• Revenue shortfall of ₹1.20L is main driver of negative P&amp;L</t>
  </si>
  <si>
    <t>• Salary overspend ₹44K is largest cost variance</t>
  </si>
  <si>
    <t>• Marketing shows mixed performance</t>
  </si>
  <si>
    <t>• 70% items are Unfavorable → cost control needed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</si>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</sst>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 #,##0.00"/>
    <numFmt numFmtId="165" formatCode="mmmm"/>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4"/>
      <color theme="1"/>
      <name val="Calibri"/>
      <family val="2"/>
      <scheme val="minor"/>
    </font>
    <font>
      <sz val="14"/>
      <color theme="1"/>
      <name val="Calibri"/>
      <family val="2"/>
      <scheme val="minor"/>
    </font>
    <font>
      <b/>
      <u/>
      <sz val="1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0" fontId="1" fillId="0" borderId="0" xfId="0" applyFont="1" applyAlignment="1">
      <alignment horizontal="center" vertical="center" wrapText="1"/>
    </xf>
    <xf numFmtId="3" fontId="0" fillId="0" borderId="0" xfId="0" applyNumberFormat="1"/>
    <xf numFmtId="3" fontId="0" fillId="0" borderId="0" xfId="0" applyNumberFormat="1" applyAlignment="1">
      <alignment vertical="center" wrapText="1"/>
    </xf>
    <xf numFmtId="10" fontId="0" fillId="0" borderId="0" xfId="1" applyNumberFormat="1" applyFont="1"/>
    <xf numFmtId="0" fontId="0" fillId="0" borderId="0" xfId="0" applyAlignment="1">
      <alignment wrapText="1"/>
    </xf>
    <xf numFmtId="0" fontId="0" fillId="0" borderId="0" xfId="0" pivotButton="1"/>
    <xf numFmtId="0" fontId="0" fillId="0" borderId="0" xfId="0" applyAlignment="1">
      <alignment horizontal="left"/>
    </xf>
    <xf numFmtId="43" fontId="0" fillId="0" borderId="0" xfId="0" applyNumberFormat="1"/>
    <xf numFmtId="165" fontId="0" fillId="0" borderId="0" xfId="0" applyNumberFormat="1"/>
    <xf numFmtId="0" fontId="4" fillId="3" borderId="1" xfId="0" applyFont="1" applyFill="1" applyBorder="1"/>
    <xf numFmtId="164" fontId="4" fillId="3" borderId="1" xfId="0" applyNumberFormat="1" applyFont="1" applyFill="1" applyBorder="1"/>
    <xf numFmtId="0" fontId="0" fillId="2" borderId="0" xfId="0" applyFill="1"/>
    <xf numFmtId="0" fontId="0" fillId="2" borderId="0" xfId="0" applyFill="1" applyAlignment="1">
      <alignment wrapText="1"/>
    </xf>
    <xf numFmtId="0" fontId="0" fillId="2" borderId="2" xfId="0" applyFill="1" applyBorder="1"/>
    <xf numFmtId="0" fontId="0" fillId="2" borderId="3" xfId="0" applyFill="1" applyBorder="1"/>
    <xf numFmtId="0" fontId="0" fillId="0" borderId="6" xfId="0" applyBorder="1"/>
    <xf numFmtId="0" fontId="0" fillId="2" borderId="5" xfId="0" applyFill="1" applyBorder="1"/>
    <xf numFmtId="0" fontId="5" fillId="2" borderId="5" xfId="0" applyFont="1" applyFill="1" applyBorder="1" applyAlignment="1">
      <alignment wrapText="1"/>
    </xf>
    <xf numFmtId="0" fontId="0" fillId="0" borderId="6" xfId="0" applyBorder="1" applyAlignment="1">
      <alignment horizontal="center" vertical="center"/>
    </xf>
    <xf numFmtId="0" fontId="0" fillId="2" borderId="7" xfId="0" applyFill="1" applyBorder="1"/>
    <xf numFmtId="0" fontId="0" fillId="2" borderId="8" xfId="0" applyFill="1" applyBorder="1"/>
    <xf numFmtId="0" fontId="0" fillId="2" borderId="4" xfId="0" applyFill="1" applyBorder="1"/>
    <xf numFmtId="0" fontId="0" fillId="2" borderId="6" xfId="0" applyFill="1" applyBorder="1"/>
    <xf numFmtId="0" fontId="0" fillId="2" borderId="9" xfId="0" applyFill="1" applyBorder="1"/>
    <xf numFmtId="10" fontId="4" fillId="3" borderId="1" xfId="1" applyNumberFormat="1" applyFont="1" applyFill="1" applyBorder="1"/>
    <xf numFmtId="0" fontId="0" fillId="0" borderId="1" xfId="0" applyBorder="1"/>
    <xf numFmtId="1" fontId="0" fillId="0" borderId="0" xfId="0" applyNumberFormat="1"/>
    <xf numFmtId="0" fontId="6" fillId="3" borderId="5" xfId="0" applyFont="1" applyFill="1" applyBorder="1" applyAlignment="1">
      <alignment horizontal="center"/>
    </xf>
    <xf numFmtId="0" fontId="6" fillId="3" borderId="0" xfId="0" applyFont="1" applyFill="1" applyAlignment="1">
      <alignment horizontal="center"/>
    </xf>
    <xf numFmtId="0" fontId="5" fillId="2" borderId="5"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6" xfId="0" applyFont="1" applyFill="1" applyBorder="1" applyAlignment="1">
      <alignment horizontal="center" vertical="center" wrapText="1"/>
    </xf>
    <xf numFmtId="0" fontId="0" fillId="0" borderId="0" xfId="0" applyNumberFormat="1"/>
  </cellXfs>
  <cellStyles count="2">
    <cellStyle name="Normal" xfId="0" builtinId="0"/>
    <cellStyle name="Percent" xfId="1" builtinId="5"/>
  </cellStyles>
  <dxfs count="52">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color rgb="FFFF0000"/>
      </font>
    </dxf>
    <dxf>
      <font>
        <color rgb="FF00B050"/>
      </font>
    </dxf>
    <dxf>
      <numFmt numFmtId="35" formatCode="_ * #,##0.00_ ;_ * \-#,##0.00_ ;_ * &quot;-&quot;??_ ;_ @_ "/>
    </dxf>
    <dxf>
      <numFmt numFmtId="35" formatCode="_ * #,##0.00_ ;_ * \-#,##0.00_ ;_ * &quot;-&quot;??_ ;_ @_ "/>
    </dxf>
    <dxf>
      <numFmt numFmtId="35" formatCode="_ * #,##0.00_ ;_ * \-#,##0.00_ ;_ * &quot;-&quot;??_ ;_ @_ "/>
    </dxf>
    <dxf>
      <numFmt numFmtId="0" formatCode="General"/>
    </dxf>
    <dxf>
      <numFmt numFmtId="14" formatCode="0.00%"/>
    </dxf>
    <dxf>
      <numFmt numFmtId="0" formatCode="General"/>
    </dxf>
    <dxf>
      <numFmt numFmtId="0" formatCode="General"/>
    </dxf>
    <dxf>
      <numFmt numFmtId="3" formatCode="#,##0"/>
    </dxf>
    <dxf>
      <numFmt numFmtId="1" formatCode="0"/>
    </dxf>
    <dxf>
      <numFmt numFmtId="19" formatCode="dd/mm/yyyy"/>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[FP&amp;A_Budget_vs_Actual_Model.xlsx]Pivot_category driver summary!PivotTable1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Budget vs Actual – Category View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 driver summary'!$B$3</c:f>
              <c:strCache>
                <c:ptCount val="1"/>
                <c:pt idx="0">
                  <c:v>Sum of Budget</c:v>
                </c:pt>
              </c:strCache>
            </c:strRef>
          </c:tx>
          <c:spPr>
            <a:solidFill>
              <a:schemeClr val="accent1">
                <a:lumMod val="60000"/>
                <a:lumOff val="40000"/>
              </a:schemeClr>
            </a:solidFill>
            <a:ln>
              <a:noFill/>
            </a:ln>
            <a:effectLst/>
          </c:spPr>
          <c:invertIfNegative val="0"/>
          <c:cat>
            <c:strRef>
              <c:f>'Pivot_category driver summary'!$A$4:$A$9</c:f>
              <c:strCache>
                <c:ptCount val="5"/>
                <c:pt idx="0">
                  <c:v>Revenue</c:v>
                </c:pt>
                <c:pt idx="1">
                  <c:v>Salary</c:v>
                </c:pt>
                <c:pt idx="2">
                  <c:v>Marketing</c:v>
                </c:pt>
                <c:pt idx="3">
                  <c:v>IT Expense</c:v>
                </c:pt>
                <c:pt idx="4">
                  <c:v>Admin Expense</c:v>
                </c:pt>
              </c:strCache>
            </c:strRef>
          </c:cat>
          <c:val>
            <c:numRef>
              <c:f>'Pivot_category driver summary'!$B$4:$B$9</c:f>
              <c:numCache>
                <c:formatCode>_(* #,##0.00_);_(* \(#,##0.00\);_(* "-"??_);_(@_)</c:formatCode>
                <c:ptCount val="5"/>
                <c:pt idx="0">
                  <c:v>15300000</c:v>
                </c:pt>
                <c:pt idx="1">
                  <c:v>3750000</c:v>
                </c:pt>
                <c:pt idx="2">
                  <c:v>1270000</c:v>
                </c:pt>
                <c:pt idx="3">
                  <c:v>643000</c:v>
                </c:pt>
                <c:pt idx="4">
                  <c:v>531000</c:v>
                </c:pt>
              </c:numCache>
            </c:numRef>
          </c:val>
          <c:extLst>
            <c:ext xmlns:c16="http://schemas.microsoft.com/office/drawing/2014/chart" uri="{C3380CC4-5D6E-409C-BE32-E72D297353CC}">
              <c16:uniqueId val="{00000000-2F1C-4AA6-8D09-8B92B119AB60}"/>
            </c:ext>
          </c:extLst>
        </c:ser>
        <c:ser>
          <c:idx val="1"/>
          <c:order val="1"/>
          <c:tx>
            <c:strRef>
              <c:f>'Pivot_category driver summary'!$C$3</c:f>
              <c:strCache>
                <c:ptCount val="1"/>
                <c:pt idx="0">
                  <c:v>Sum of Actual</c:v>
                </c:pt>
              </c:strCache>
            </c:strRef>
          </c:tx>
          <c:spPr>
            <a:solidFill>
              <a:schemeClr val="accent2">
                <a:lumMod val="60000"/>
                <a:lumOff val="40000"/>
              </a:schemeClr>
            </a:solidFill>
            <a:ln>
              <a:noFill/>
            </a:ln>
            <a:effectLst/>
          </c:spPr>
          <c:invertIfNegative val="0"/>
          <c:cat>
            <c:strRef>
              <c:f>'Pivot_category driver summary'!$A$4:$A$9</c:f>
              <c:strCache>
                <c:ptCount val="5"/>
                <c:pt idx="0">
                  <c:v>Revenue</c:v>
                </c:pt>
                <c:pt idx="1">
                  <c:v>Salary</c:v>
                </c:pt>
                <c:pt idx="2">
                  <c:v>Marketing</c:v>
                </c:pt>
                <c:pt idx="3">
                  <c:v>IT Expense</c:v>
                </c:pt>
                <c:pt idx="4">
                  <c:v>Admin Expense</c:v>
                </c:pt>
              </c:strCache>
            </c:strRef>
          </c:cat>
          <c:val>
            <c:numRef>
              <c:f>'Pivot_category driver summary'!$C$4:$C$9</c:f>
              <c:numCache>
                <c:formatCode>_(* #,##0.00_);_(* \(#,##0.00\);_(* "-"??_);_(@_)</c:formatCode>
                <c:ptCount val="5"/>
                <c:pt idx="0">
                  <c:v>15180000</c:v>
                </c:pt>
                <c:pt idx="1">
                  <c:v>3794000</c:v>
                </c:pt>
                <c:pt idx="2">
                  <c:v>1288000</c:v>
                </c:pt>
                <c:pt idx="3">
                  <c:v>658000</c:v>
                </c:pt>
                <c:pt idx="4">
                  <c:v>545000</c:v>
                </c:pt>
              </c:numCache>
            </c:numRef>
          </c:val>
          <c:extLst>
            <c:ext xmlns:c16="http://schemas.microsoft.com/office/drawing/2014/chart" uri="{C3380CC4-5D6E-409C-BE32-E72D297353CC}">
              <c16:uniqueId val="{00000001-2F1C-4AA6-8D09-8B92B119AB60}"/>
            </c:ext>
          </c:extLst>
        </c:ser>
        <c:dLbls>
          <c:showLegendKey val="0"/>
          <c:showVal val="0"/>
          <c:showCatName val="0"/>
          <c:showSerName val="0"/>
          <c:showPercent val="0"/>
          <c:showBubbleSize val="0"/>
        </c:dLbls>
        <c:gapWidth val="219"/>
        <c:axId val="781971727"/>
        <c:axId val="781972687"/>
      </c:barChart>
      <c:catAx>
        <c:axId val="7819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972687"/>
        <c:crosses val="autoZero"/>
        <c:auto val="1"/>
        <c:lblAlgn val="ctr"/>
        <c:lblOffset val="100"/>
        <c:noMultiLvlLbl val="0"/>
      </c:catAx>
      <c:valAx>
        <c:axId val="781972687"/>
        <c:scaling>
          <c:orientation val="minMax"/>
        </c:scaling>
        <c:delete val="0"/>
        <c:axPos val="l"/>
        <c:numFmt formatCode="&quot;₹&quot;\ #,##0,,&quot; 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9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[FP&amp;A_Budget_vs_Actual_Model.xlsx]Pivot_category driver summary!PivotTable4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Variance Impact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60000"/>
              <a:lumOff val="40000"/>
            </a:schemeClr>
          </a:solidFill>
          <a:ln>
            <a:noFill/>
          </a:ln>
          <a:effectLst/>
        </c:spPr>
      </c:pivotFmt>
    </c:pivotFmts>
    <c:plotArea>
      <c:layout>
        <c:manualLayout>
          <c:layoutTarget val="inner"/>
          <c:xMode val="edge"/>
          <c:yMode val="edge"/>
          <c:x val="0.16825902205459153"/>
          <c:y val="0.26039160970263331"/>
          <c:w val="0.69460595224974797"/>
          <c:h val="0.59867648755444036"/>
        </c:manualLayout>
      </c:layout>
      <c:barChart>
        <c:barDir val="col"/>
        <c:grouping val="clustered"/>
        <c:varyColors val="0"/>
        <c:ser>
          <c:idx val="0"/>
          <c:order val="0"/>
          <c:tx>
            <c:strRef>
              <c:f>'Pivot_category driver summary'!$B$12</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8-AB7D-4B41-835E-4E8412049B93}"/>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73C3-4306-8D08-DF960CF806F7}"/>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73C3-4306-8D08-DF960CF806F7}"/>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73C3-4306-8D08-DF960CF806F7}"/>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73C3-4306-8D08-DF960CF806F7}"/>
              </c:ext>
            </c:extLst>
          </c:dPt>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 driver summary'!$A$13:$A$18</c:f>
              <c:strCache>
                <c:ptCount val="5"/>
                <c:pt idx="0">
                  <c:v>Revenue</c:v>
                </c:pt>
                <c:pt idx="1">
                  <c:v>Salary</c:v>
                </c:pt>
                <c:pt idx="2">
                  <c:v>Marketing</c:v>
                </c:pt>
                <c:pt idx="3">
                  <c:v>IT Expense</c:v>
                </c:pt>
                <c:pt idx="4">
                  <c:v>Admin Expense</c:v>
                </c:pt>
              </c:strCache>
            </c:strRef>
          </c:cat>
          <c:val>
            <c:numRef>
              <c:f>'Pivot_category driver summary'!$B$13:$B$18</c:f>
              <c:numCache>
                <c:formatCode>_(* #,##0.00_);_(* \(#,##0.00\);_(* "-"??_);_(@_)</c:formatCode>
                <c:ptCount val="5"/>
                <c:pt idx="0">
                  <c:v>-120000</c:v>
                </c:pt>
                <c:pt idx="1">
                  <c:v>44000</c:v>
                </c:pt>
                <c:pt idx="2">
                  <c:v>18000</c:v>
                </c:pt>
                <c:pt idx="3">
                  <c:v>15000</c:v>
                </c:pt>
                <c:pt idx="4">
                  <c:v>14000</c:v>
                </c:pt>
              </c:numCache>
            </c:numRef>
          </c:val>
          <c:extLst>
            <c:ext xmlns:c16="http://schemas.microsoft.com/office/drawing/2014/chart" uri="{C3380CC4-5D6E-409C-BE32-E72D297353CC}">
              <c16:uniqueId val="{00000000-73C3-4306-8D08-DF960CF806F7}"/>
            </c:ext>
          </c:extLst>
        </c:ser>
        <c:dLbls>
          <c:showLegendKey val="0"/>
          <c:showVal val="0"/>
          <c:showCatName val="0"/>
          <c:showSerName val="0"/>
          <c:showPercent val="0"/>
          <c:showBubbleSize val="0"/>
        </c:dLbls>
        <c:gapWidth val="219"/>
        <c:overlap val="-27"/>
        <c:axId val="891382079"/>
        <c:axId val="891383039"/>
      </c:barChart>
      <c:catAx>
        <c:axId val="89138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83039"/>
        <c:crosses val="autoZero"/>
        <c:auto val="1"/>
        <c:lblAlgn val="ctr"/>
        <c:lblOffset val="100"/>
        <c:noMultiLvlLbl val="0"/>
      </c:catAx>
      <c:valAx>
        <c:axId val="8913830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82079"/>
        <c:crosses val="autoZero"/>
        <c:crossBetween val="between"/>
      </c:valAx>
      <c:spPr>
        <a:noFill/>
        <a:ln>
          <a:noFill/>
        </a:ln>
        <a:effectLst/>
      </c:spPr>
    </c:plotArea>
    <c:legend>
      <c:legendPos val="t"/>
      <c:layout>
        <c:manualLayout>
          <c:xMode val="edge"/>
          <c:yMode val="edge"/>
          <c:x val="0.23637059134128058"/>
          <c:y val="0.8739447232557469"/>
          <c:w val="0.68864657300063736"/>
          <c:h val="7.9778611937191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[FP&amp;A_Budget_vs_Actual_Model.xlsx]Pivot_Month_Trend!PivotTable2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Variance Trend – Revenue vs Cost vs Net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Pivot_Month_Trend!$B$3:$B$4</c:f>
              <c:strCache>
                <c:ptCount val="1"/>
                <c:pt idx="0">
                  <c:v>Cost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Pivot_Month_Trend!$A$5:$A$17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Pivot_Month_Trend!$B$5:$B$17</c:f>
              <c:numCache>
                <c:formatCode>#,##0</c:formatCode>
                <c:ptCount val="12"/>
                <c:pt idx="0">
                  <c:v>17000</c:v>
                </c:pt>
                <c:pt idx="1">
                  <c:v>2000</c:v>
                </c:pt>
                <c:pt idx="2">
                  <c:v>9000</c:v>
                </c:pt>
                <c:pt idx="3">
                  <c:v>7000</c:v>
                </c:pt>
                <c:pt idx="4">
                  <c:v>6000</c:v>
                </c:pt>
                <c:pt idx="5">
                  <c:v>12000</c:v>
                </c:pt>
                <c:pt idx="6">
                  <c:v>1000</c:v>
                </c:pt>
                <c:pt idx="7">
                  <c:v>5000</c:v>
                </c:pt>
                <c:pt idx="8">
                  <c:v>9000</c:v>
                </c:pt>
                <c:pt idx="9">
                  <c:v>3000</c:v>
                </c:pt>
                <c:pt idx="10">
                  <c:v>9000</c:v>
                </c:pt>
                <c:pt idx="11">
                  <c:v>11000</c:v>
                </c:pt>
              </c:numCache>
            </c:numRef>
          </c:val>
          <c:smooth val="0"/>
          <c:extLst>
            <c:ext xmlns:c16="http://schemas.microsoft.com/office/drawing/2014/chart" uri="{C3380CC4-5D6E-409C-BE32-E72D297353CC}">
              <c16:uniqueId val="{00000000-BA9B-4A9D-8AF7-AAF57DF772D7}"/>
            </c:ext>
          </c:extLst>
        </c:ser>
        <c:ser>
          <c:idx val="1"/>
          <c:order val="1"/>
          <c:tx>
            <c:strRef>
              <c:f>Pivot_Month_Trend!$C$3:$C$4</c:f>
              <c:strCache>
                <c:ptCount val="1"/>
                <c:pt idx="0">
                  <c:v>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Pivot_Month_Trend!$A$5:$A$17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Pivot_Month_Trend!$C$5:$C$17</c:f>
              <c:numCache>
                <c:formatCode>#,##0</c:formatCode>
                <c:ptCount val="12"/>
                <c:pt idx="0">
                  <c:v>-50000</c:v>
                </c:pt>
                <c:pt idx="1">
                  <c:v>-30000</c:v>
                </c:pt>
                <c:pt idx="2">
                  <c:v>30000</c:v>
                </c:pt>
                <c:pt idx="3">
                  <c:v>-40000</c:v>
                </c:pt>
                <c:pt idx="4">
                  <c:v>40000</c:v>
                </c:pt>
                <c:pt idx="5">
                  <c:v>-40000</c:v>
                </c:pt>
                <c:pt idx="6">
                  <c:v>-20000</c:v>
                </c:pt>
                <c:pt idx="7">
                  <c:v>20000</c:v>
                </c:pt>
                <c:pt idx="8">
                  <c:v>-40000</c:v>
                </c:pt>
                <c:pt idx="9">
                  <c:v>30000</c:v>
                </c:pt>
                <c:pt idx="10">
                  <c:v>20000</c:v>
                </c:pt>
                <c:pt idx="11">
                  <c:v>-40000</c:v>
                </c:pt>
              </c:numCache>
            </c:numRef>
          </c:val>
          <c:smooth val="0"/>
          <c:extLst>
            <c:ext xmlns:c16="http://schemas.microsoft.com/office/drawing/2014/chart" uri="{C3380CC4-5D6E-409C-BE32-E72D297353CC}">
              <c16:uniqueId val="{00000001-BA9B-4A9D-8AF7-AAF57DF772D7}"/>
            </c:ext>
          </c:extLst>
        </c:ser>
        <c:dLbls>
          <c:showLegendKey val="0"/>
          <c:showVal val="0"/>
          <c:showCatName val="0"/>
          <c:showSerName val="0"/>
          <c:showPercent val="0"/>
          <c:showBubbleSize val="0"/>
        </c:dLbls>
        <c:marker val="1"/>
        <c:smooth val="0"/>
        <c:axId val="2113724752"/>
        <c:axId val="2113725712"/>
      </c:lineChart>
      <c:catAx>
        <c:axId val="211372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725712"/>
        <c:crosses val="autoZero"/>
        <c:auto val="1"/>
        <c:lblAlgn val="ctr"/>
        <c:lblOffset val="100"/>
        <c:noMultiLvlLbl val="0"/>
      </c:catAx>
      <c:valAx>
        <c:axId val="2113725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72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[FP&amp;A_Budget_vs_Actual_Model.xlsx]Pivot_KPI Summary!PivotTable3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Variance Quality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'Pivot_KPI Summary'!$B$3:$B$4</c:f>
              <c:strCache>
                <c:ptCount val="1"/>
                <c:pt idx="0">
                  <c:v>Favorable</c:v>
                </c:pt>
              </c:strCache>
            </c:strRef>
          </c:tx>
          <c:spPr>
            <a:solidFill>
              <a:schemeClr val="accent1"/>
            </a:solidFill>
            <a:ln>
              <a:noFill/>
            </a:ln>
            <a:effectLst/>
          </c:spPr>
          <c:invertIfNegative val="0"/>
          <c:cat>
            <c:strRef>
              <c:f>'Pivot_KPI Summary'!$A$5:$A$10</c:f>
              <c:strCache>
                <c:ptCount val="5"/>
                <c:pt idx="0">
                  <c:v>Revenue</c:v>
                </c:pt>
                <c:pt idx="1">
                  <c:v>Salary</c:v>
                </c:pt>
                <c:pt idx="2">
                  <c:v>Marketing</c:v>
                </c:pt>
                <c:pt idx="3">
                  <c:v>IT Expense</c:v>
                </c:pt>
                <c:pt idx="4">
                  <c:v>Admin Expense</c:v>
                </c:pt>
              </c:strCache>
            </c:strRef>
          </c:cat>
          <c:val>
            <c:numRef>
              <c:f>'Pivot_KPI Summary'!$B$5:$B$10</c:f>
              <c:numCache>
                <c:formatCode>General</c:formatCode>
                <c:ptCount val="5"/>
                <c:pt idx="0">
                  <c:v>5</c:v>
                </c:pt>
                <c:pt idx="1">
                  <c:v>3</c:v>
                </c:pt>
                <c:pt idx="2">
                  <c:v>4</c:v>
                </c:pt>
                <c:pt idx="3">
                  <c:v>4</c:v>
                </c:pt>
                <c:pt idx="4">
                  <c:v>2</c:v>
                </c:pt>
              </c:numCache>
            </c:numRef>
          </c:val>
          <c:extLst>
            <c:ext xmlns:c16="http://schemas.microsoft.com/office/drawing/2014/chart" uri="{C3380CC4-5D6E-409C-BE32-E72D297353CC}">
              <c16:uniqueId val="{00000000-2827-463F-A577-5F0B78AE36D2}"/>
            </c:ext>
          </c:extLst>
        </c:ser>
        <c:ser>
          <c:idx val="1"/>
          <c:order val="1"/>
          <c:tx>
            <c:strRef>
              <c:f>'Pivot_KPI Summary'!$C$3:$C$4</c:f>
              <c:strCache>
                <c:ptCount val="1"/>
                <c:pt idx="0">
                  <c:v>Unfavorable</c:v>
                </c:pt>
              </c:strCache>
            </c:strRef>
          </c:tx>
          <c:spPr>
            <a:solidFill>
              <a:schemeClr val="accent2"/>
            </a:solidFill>
            <a:ln>
              <a:noFill/>
            </a:ln>
            <a:effectLst/>
          </c:spPr>
          <c:invertIfNegative val="0"/>
          <c:cat>
            <c:strRef>
              <c:f>'Pivot_KPI Summary'!$A$5:$A$10</c:f>
              <c:strCache>
                <c:ptCount val="5"/>
                <c:pt idx="0">
                  <c:v>Revenue</c:v>
                </c:pt>
                <c:pt idx="1">
                  <c:v>Salary</c:v>
                </c:pt>
                <c:pt idx="2">
                  <c:v>Marketing</c:v>
                </c:pt>
                <c:pt idx="3">
                  <c:v>IT Expense</c:v>
                </c:pt>
                <c:pt idx="4">
                  <c:v>Admin Expense</c:v>
                </c:pt>
              </c:strCache>
            </c:strRef>
          </c:cat>
          <c:val>
            <c:numRef>
              <c:f>'Pivot_KPI Summary'!$C$5:$C$10</c:f>
              <c:numCache>
                <c:formatCode>General</c:formatCode>
                <c:ptCount val="5"/>
                <c:pt idx="0">
                  <c:v>7</c:v>
                </c:pt>
                <c:pt idx="1">
                  <c:v>9</c:v>
                </c:pt>
                <c:pt idx="2">
                  <c:v>8</c:v>
                </c:pt>
                <c:pt idx="3">
                  <c:v>8</c:v>
                </c:pt>
                <c:pt idx="4">
                  <c:v>10</c:v>
                </c:pt>
              </c:numCache>
            </c:numRef>
          </c:val>
          <c:extLst>
            <c:ext xmlns:c16="http://schemas.microsoft.com/office/drawing/2014/chart" uri="{C3380CC4-5D6E-409C-BE32-E72D297353CC}">
              <c16:uniqueId val="{00000002-342E-4F7E-9088-1EF8E7D774FD}"/>
            </c:ext>
          </c:extLst>
        </c:ser>
        <c:dLbls>
          <c:showLegendKey val="0"/>
          <c:showVal val="0"/>
          <c:showCatName val="0"/>
          <c:showSerName val="0"/>
          <c:showPercent val="0"/>
          <c:showBubbleSize val="0"/>
        </c:dLbls>
        <c:gapWidth val="150"/>
        <c:overlap val="100"/>
        <c:axId val="2106579984"/>
        <c:axId val="87426128"/>
      </c:barChart>
      <c:catAx>
        <c:axId val="210657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26128"/>
        <c:crosses val="autoZero"/>
        <c:auto val="1"/>
        <c:lblAlgn val="ctr"/>
        <c:lblOffset val="100"/>
        <c:noMultiLvlLbl val="0"/>
      </c:catAx>
      <c:valAx>
        <c:axId val="8742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7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17000</xdr:colOff>
      <xdr:row>10</xdr:row>
      <xdr:rowOff>172581</xdr:rowOff>
    </xdr:from>
    <xdr:to>
      <xdr:col>9</xdr:col>
      <xdr:colOff>167139</xdr:colOff>
      <xdr:row>26</xdr:row>
      <xdr:rowOff>39356</xdr:rowOff>
    </xdr:to>
    <xdr:graphicFrame macro="">
      <xdr:nvGraphicFramePr>
        <xdr:cNvPr id="2" name="Chart 1">
          <a:extLst>
            <a:ext uri="{FF2B5EF4-FFF2-40B4-BE49-F238E27FC236}">
              <a16:creationId xmlns:a16="http://schemas.microsoft.com/office/drawing/2014/main" id="{6FD6F222-5616-40D0-B46A-029A3AD05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421694</xdr:colOff>
      <xdr:row>10</xdr:row>
      <xdr:rowOff>172748</xdr:rowOff>
    </xdr:from>
    <xdr:to>
      <xdr:col>18</xdr:col>
      <xdr:colOff>457200</xdr:colOff>
      <xdr:row>26</xdr:row>
      <xdr:rowOff>32657</xdr:rowOff>
    </xdr:to>
    <xdr:graphicFrame macro="">
      <xdr:nvGraphicFramePr>
        <xdr:cNvPr id="4" name="Chart 3">
          <a:extLst>
            <a:ext uri="{FF2B5EF4-FFF2-40B4-BE49-F238E27FC236}">
              <a16:creationId xmlns:a16="http://schemas.microsoft.com/office/drawing/2014/main" id="{DC7F06FB-45AE-48E4-AEE0-58B5792AD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25400</xdr:colOff>
      <xdr:row>10</xdr:row>
      <xdr:rowOff>178106</xdr:rowOff>
    </xdr:from>
    <xdr:to>
      <xdr:col>0</xdr:col>
      <xdr:colOff>1852526</xdr:colOff>
      <xdr:row>26</xdr:row>
      <xdr:rowOff>39354</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0E1DC07F-804A-DF50-FA1A-D06574FB1FE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5400" y="2337106"/>
              <a:ext cx="1827126" cy="2841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1826287</xdr:colOff>
      <xdr:row>27</xdr:row>
      <xdr:rowOff>14235</xdr:rowOff>
    </xdr:from>
    <xdr:to>
      <xdr:col>9</xdr:col>
      <xdr:colOff>169983</xdr:colOff>
      <xdr:row>42</xdr:row>
      <xdr:rowOff>64476</xdr:rowOff>
    </xdr:to>
    <xdr:graphicFrame macro="">
      <xdr:nvGraphicFramePr>
        <xdr:cNvPr id="5" name="Chart 4">
          <a:extLst>
            <a:ext uri="{FF2B5EF4-FFF2-40B4-BE49-F238E27FC236}">
              <a16:creationId xmlns:a16="http://schemas.microsoft.com/office/drawing/2014/main" id="{30DC01F0-96C6-40FD-B4A0-DF51DEC80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413656</xdr:colOff>
      <xdr:row>27</xdr:row>
      <xdr:rowOff>10884</xdr:rowOff>
    </xdr:from>
    <xdr:to>
      <xdr:col>18</xdr:col>
      <xdr:colOff>468085</xdr:colOff>
      <xdr:row>42</xdr:row>
      <xdr:rowOff>76198</xdr:rowOff>
    </xdr:to>
    <xdr:graphicFrame macro="">
      <xdr:nvGraphicFramePr>
        <xdr:cNvPr id="6" name="Chart 5">
          <a:extLst>
            <a:ext uri="{FF2B5EF4-FFF2-40B4-BE49-F238E27FC236}">
              <a16:creationId xmlns:a16="http://schemas.microsoft.com/office/drawing/2014/main" id="{B8317EED-045E-4FF4-A0E7-965942C7B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6056.932244560187" createdVersion="8" refreshedVersion="8" minRefreshableVersion="3" recordCount="60" xr:uid="{36A79AA5-31DB-4D01-BBF6-D7DFB2E06A55}">
  <cacheSource type="worksheet">
    <worksheetSource name="Table2"/>
  </cacheSource>
  <cacheFields count="9">
    <cacheField name="Month" numFmtId="165">
      <sharedItems count="13">
        <s v="January"/>
        <s v="February"/>
        <s v="March"/>
        <s v="April"/>
        <s v="May"/>
        <s v="June"/>
        <s v="July"/>
        <s v="August"/>
        <s v="September"/>
        <s v="October"/>
        <s v="November"/>
        <s v="December"/>
        <s v="Feburary" u="1"/>
      </sharedItems>
    </cacheField>
    <cacheField name="Column1" numFmtId="1">
      <sharedItems containsSemiMixedTypes="0" containsString="0" containsNumber="1" containsInteger="1" minValue="1" maxValue="12"/>
    </cacheField>
    <cacheField name="Category" numFmtId="0">
      <sharedItems count="5">
        <s v="Revenue"/>
        <s v="Salary"/>
        <s v="Marketing"/>
        <s v="IT Expense"/>
        <s v="Admin Expense"/>
      </sharedItems>
    </cacheField>
    <cacheField name="Budget" numFmtId="0">
      <sharedItems containsSemiMixedTypes="0" containsString="0" containsNumber="1" containsInteger="1" minValue="40000" maxValue="1550000"/>
    </cacheField>
    <cacheField name="Actual" numFmtId="0">
      <sharedItems containsSemiMixedTypes="0" containsString="0" containsNumber="1" containsInteger="1" minValue="41000" maxValue="1520000"/>
    </cacheField>
    <cacheField name="Variance ₹" numFmtId="3">
      <sharedItems containsSemiMixedTypes="0" containsString="0" containsNumber="1" containsInteger="1" minValue="-50000" maxValue="40000"/>
    </cacheField>
    <cacheField name="Variance %" numFmtId="10">
      <sharedItems containsSemiMixedTypes="0" containsString="0" containsNumber="1" minValue="-0.125" maxValue="0.1"/>
    </cacheField>
    <cacheField name="Type" numFmtId="0">
      <sharedItems count="2">
        <s v="Revenue"/>
        <s v="Cost"/>
      </sharedItems>
    </cacheField>
    <cacheField name="Result" numFmtId="0">
      <sharedItems count="2">
        <s v="Unfavorable"/>
        <s v="Favorable"/>
      </sharedItems>
    </cacheField>
  </cacheFields>
  <extLst>
    <ext xmlns:x14="http://schemas.microsoft.com/office/spreadsheetml/2009/9/main" uri="{725AE2AE-9491-48be-B2B4-4EB974FC3084}">
      <x14:pivotCacheDefinition pivotCacheId="991572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n v="1"/>
    <x v="0"/>
    <n v="1000000"/>
    <n v="950000"/>
    <n v="-50000"/>
    <n v="-0.05"/>
    <x v="0"/>
    <x v="0"/>
  </r>
  <r>
    <x v="0"/>
    <n v="1"/>
    <x v="1"/>
    <n v="300000"/>
    <n v="320000"/>
    <n v="20000"/>
    <n v="6.6666666666666666E-2"/>
    <x v="1"/>
    <x v="0"/>
  </r>
  <r>
    <x v="0"/>
    <n v="1"/>
    <x v="2"/>
    <n v="80000"/>
    <n v="70000"/>
    <n v="-10000"/>
    <n v="-0.125"/>
    <x v="1"/>
    <x v="1"/>
  </r>
  <r>
    <x v="0"/>
    <n v="1"/>
    <x v="3"/>
    <n v="50000"/>
    <n v="55000"/>
    <n v="5000"/>
    <n v="0.1"/>
    <x v="1"/>
    <x v="0"/>
  </r>
  <r>
    <x v="0"/>
    <n v="1"/>
    <x v="4"/>
    <n v="40000"/>
    <n v="42000"/>
    <n v="2000"/>
    <n v="0.05"/>
    <x v="1"/>
    <x v="0"/>
  </r>
  <r>
    <x v="1"/>
    <n v="2"/>
    <x v="0"/>
    <n v="1050000"/>
    <n v="1020000"/>
    <n v="-30000"/>
    <n v="-2.8571428571428571E-2"/>
    <x v="0"/>
    <x v="0"/>
  </r>
  <r>
    <x v="1"/>
    <n v="2"/>
    <x v="1"/>
    <n v="300000"/>
    <n v="300000"/>
    <n v="0"/>
    <n v="0"/>
    <x v="1"/>
    <x v="1"/>
  </r>
  <r>
    <x v="1"/>
    <n v="2"/>
    <x v="2"/>
    <n v="85000"/>
    <n v="88000"/>
    <n v="3000"/>
    <n v="3.5294117647058823E-2"/>
    <x v="1"/>
    <x v="0"/>
  </r>
  <r>
    <x v="1"/>
    <n v="2"/>
    <x v="3"/>
    <n v="50000"/>
    <n v="48000"/>
    <n v="-2000"/>
    <n v="-0.04"/>
    <x v="1"/>
    <x v="1"/>
  </r>
  <r>
    <x v="1"/>
    <n v="2"/>
    <x v="4"/>
    <n v="42000"/>
    <n v="43000"/>
    <n v="1000"/>
    <n v="2.3809523809523808E-2"/>
    <x v="1"/>
    <x v="0"/>
  </r>
  <r>
    <x v="2"/>
    <n v="3"/>
    <x v="0"/>
    <n v="1100000"/>
    <n v="1130000"/>
    <n v="30000"/>
    <n v="2.7272727272727271E-2"/>
    <x v="0"/>
    <x v="1"/>
  </r>
  <r>
    <x v="2"/>
    <n v="3"/>
    <x v="1"/>
    <n v="305000"/>
    <n v="308000"/>
    <n v="3000"/>
    <n v="9.8360655737704927E-3"/>
    <x v="1"/>
    <x v="0"/>
  </r>
  <r>
    <x v="2"/>
    <n v="3"/>
    <x v="2"/>
    <n v="90000"/>
    <n v="95000"/>
    <n v="5000"/>
    <n v="5.5555555555555552E-2"/>
    <x v="1"/>
    <x v="0"/>
  </r>
  <r>
    <x v="2"/>
    <n v="3"/>
    <x v="3"/>
    <n v="52000"/>
    <n v="54000"/>
    <n v="2000"/>
    <n v="3.8461538461538464E-2"/>
    <x v="1"/>
    <x v="0"/>
  </r>
  <r>
    <x v="2"/>
    <n v="3"/>
    <x v="4"/>
    <n v="42000"/>
    <n v="41000"/>
    <n v="-1000"/>
    <n v="-2.3809523809523808E-2"/>
    <x v="1"/>
    <x v="1"/>
  </r>
  <r>
    <x v="3"/>
    <n v="4"/>
    <x v="0"/>
    <n v="1150000"/>
    <n v="1110000"/>
    <n v="-40000"/>
    <n v="-3.4782608695652174E-2"/>
    <x v="0"/>
    <x v="0"/>
  </r>
  <r>
    <x v="3"/>
    <n v="4"/>
    <x v="1"/>
    <n v="305000"/>
    <n v="305000"/>
    <n v="0"/>
    <n v="0"/>
    <x v="1"/>
    <x v="1"/>
  </r>
  <r>
    <x v="3"/>
    <n v="4"/>
    <x v="2"/>
    <n v="95000"/>
    <n v="102000"/>
    <n v="7000"/>
    <n v="7.3684210526315783E-2"/>
    <x v="1"/>
    <x v="0"/>
  </r>
  <r>
    <x v="3"/>
    <n v="4"/>
    <x v="3"/>
    <n v="52000"/>
    <n v="50000"/>
    <n v="-2000"/>
    <n v="-3.8461538461538464E-2"/>
    <x v="1"/>
    <x v="1"/>
  </r>
  <r>
    <x v="3"/>
    <n v="4"/>
    <x v="4"/>
    <n v="43000"/>
    <n v="45000"/>
    <n v="2000"/>
    <n v="4.6511627906976744E-2"/>
    <x v="1"/>
    <x v="0"/>
  </r>
  <r>
    <x v="4"/>
    <n v="5"/>
    <x v="0"/>
    <n v="1200000"/>
    <n v="1240000"/>
    <n v="40000"/>
    <n v="3.3333333333333333E-2"/>
    <x v="0"/>
    <x v="1"/>
  </r>
  <r>
    <x v="4"/>
    <n v="5"/>
    <x v="1"/>
    <n v="310000"/>
    <n v="315000"/>
    <n v="5000"/>
    <n v="1.6129032258064516E-2"/>
    <x v="1"/>
    <x v="0"/>
  </r>
  <r>
    <x v="4"/>
    <n v="5"/>
    <x v="2"/>
    <n v="100000"/>
    <n v="98000"/>
    <n v="-2000"/>
    <n v="-0.02"/>
    <x v="1"/>
    <x v="1"/>
  </r>
  <r>
    <x v="4"/>
    <n v="5"/>
    <x v="3"/>
    <n v="53000"/>
    <n v="55000"/>
    <n v="2000"/>
    <n v="3.7735849056603772E-2"/>
    <x v="1"/>
    <x v="0"/>
  </r>
  <r>
    <x v="4"/>
    <n v="5"/>
    <x v="4"/>
    <n v="43000"/>
    <n v="44000"/>
    <n v="1000"/>
    <n v="2.3255813953488372E-2"/>
    <x v="1"/>
    <x v="0"/>
  </r>
  <r>
    <x v="5"/>
    <n v="6"/>
    <x v="0"/>
    <n v="1250000"/>
    <n v="1210000"/>
    <n v="-40000"/>
    <n v="-3.2000000000000001E-2"/>
    <x v="0"/>
    <x v="0"/>
  </r>
  <r>
    <x v="5"/>
    <n v="6"/>
    <x v="1"/>
    <n v="310000"/>
    <n v="312000"/>
    <n v="2000"/>
    <n v="6.4516129032258064E-3"/>
    <x v="1"/>
    <x v="0"/>
  </r>
  <r>
    <x v="5"/>
    <n v="6"/>
    <x v="2"/>
    <n v="105000"/>
    <n v="110000"/>
    <n v="5000"/>
    <n v="4.7619047619047616E-2"/>
    <x v="1"/>
    <x v="0"/>
  </r>
  <r>
    <x v="5"/>
    <n v="6"/>
    <x v="3"/>
    <n v="53000"/>
    <n v="56000"/>
    <n v="3000"/>
    <n v="5.6603773584905662E-2"/>
    <x v="1"/>
    <x v="0"/>
  </r>
  <r>
    <x v="5"/>
    <n v="6"/>
    <x v="4"/>
    <n v="44000"/>
    <n v="46000"/>
    <n v="2000"/>
    <n v="4.5454545454545456E-2"/>
    <x v="1"/>
    <x v="0"/>
  </r>
  <r>
    <x v="6"/>
    <n v="7"/>
    <x v="0"/>
    <n v="1300000"/>
    <n v="1280000"/>
    <n v="-20000"/>
    <n v="-1.5384615384615385E-2"/>
    <x v="0"/>
    <x v="0"/>
  </r>
  <r>
    <x v="6"/>
    <n v="7"/>
    <x v="1"/>
    <n v="315000"/>
    <n v="318000"/>
    <n v="3000"/>
    <n v="9.5238095238095247E-3"/>
    <x v="1"/>
    <x v="0"/>
  </r>
  <r>
    <x v="6"/>
    <n v="7"/>
    <x v="2"/>
    <n v="110000"/>
    <n v="105000"/>
    <n v="-5000"/>
    <n v="-4.5454545454545456E-2"/>
    <x v="1"/>
    <x v="1"/>
  </r>
  <r>
    <x v="6"/>
    <n v="7"/>
    <x v="3"/>
    <n v="54000"/>
    <n v="56000"/>
    <n v="2000"/>
    <n v="3.7037037037037035E-2"/>
    <x v="1"/>
    <x v="0"/>
  </r>
  <r>
    <x v="6"/>
    <n v="7"/>
    <x v="4"/>
    <n v="45000"/>
    <n v="46000"/>
    <n v="1000"/>
    <n v="2.2222222222222223E-2"/>
    <x v="1"/>
    <x v="0"/>
  </r>
  <r>
    <x v="7"/>
    <n v="8"/>
    <x v="0"/>
    <n v="1350000"/>
    <n v="1370000"/>
    <n v="20000"/>
    <n v="1.4814814814814815E-2"/>
    <x v="0"/>
    <x v="1"/>
  </r>
  <r>
    <x v="7"/>
    <n v="8"/>
    <x v="1"/>
    <n v="315000"/>
    <n v="315000"/>
    <n v="0"/>
    <n v="0"/>
    <x v="1"/>
    <x v="1"/>
  </r>
  <r>
    <x v="7"/>
    <n v="8"/>
    <x v="2"/>
    <n v="115000"/>
    <n v="122000"/>
    <n v="7000"/>
    <n v="6.0869565217391307E-2"/>
    <x v="1"/>
    <x v="0"/>
  </r>
  <r>
    <x v="7"/>
    <n v="8"/>
    <x v="3"/>
    <n v="55000"/>
    <n v="54000"/>
    <n v="-1000"/>
    <n v="-1.8181818181818181E-2"/>
    <x v="1"/>
    <x v="1"/>
  </r>
  <r>
    <x v="7"/>
    <n v="8"/>
    <x v="4"/>
    <n v="45000"/>
    <n v="44000"/>
    <n v="-1000"/>
    <n v="-2.2222222222222223E-2"/>
    <x v="1"/>
    <x v="1"/>
  </r>
  <r>
    <x v="8"/>
    <n v="9"/>
    <x v="0"/>
    <n v="1400000"/>
    <n v="1360000"/>
    <n v="-40000"/>
    <n v="-2.8571428571428571E-2"/>
    <x v="0"/>
    <x v="0"/>
  </r>
  <r>
    <x v="8"/>
    <n v="9"/>
    <x v="1"/>
    <n v="320000"/>
    <n v="322000"/>
    <n v="2000"/>
    <n v="6.2500000000000003E-3"/>
    <x v="1"/>
    <x v="0"/>
  </r>
  <r>
    <x v="8"/>
    <n v="9"/>
    <x v="2"/>
    <n v="115000"/>
    <n v="118000"/>
    <n v="3000"/>
    <n v="2.6086956521739129E-2"/>
    <x v="1"/>
    <x v="0"/>
  </r>
  <r>
    <x v="8"/>
    <n v="9"/>
    <x v="3"/>
    <n v="55000"/>
    <n v="57000"/>
    <n v="2000"/>
    <n v="3.6363636363636362E-2"/>
    <x v="1"/>
    <x v="0"/>
  </r>
  <r>
    <x v="8"/>
    <n v="9"/>
    <x v="4"/>
    <n v="46000"/>
    <n v="48000"/>
    <n v="2000"/>
    <n v="4.3478260869565216E-2"/>
    <x v="1"/>
    <x v="0"/>
  </r>
  <r>
    <x v="9"/>
    <n v="10"/>
    <x v="0"/>
    <n v="1450000"/>
    <n v="1480000"/>
    <n v="30000"/>
    <n v="2.0689655172413793E-2"/>
    <x v="0"/>
    <x v="1"/>
  </r>
  <r>
    <x v="9"/>
    <n v="10"/>
    <x v="1"/>
    <n v="320000"/>
    <n v="325000"/>
    <n v="5000"/>
    <n v="1.5625E-2"/>
    <x v="1"/>
    <x v="0"/>
  </r>
  <r>
    <x v="9"/>
    <n v="10"/>
    <x v="2"/>
    <n v="120000"/>
    <n v="115000"/>
    <n v="-5000"/>
    <n v="-4.1666666666666664E-2"/>
    <x v="1"/>
    <x v="1"/>
  </r>
  <r>
    <x v="9"/>
    <n v="10"/>
    <x v="3"/>
    <n v="56000"/>
    <n v="58000"/>
    <n v="2000"/>
    <n v="3.5714285714285712E-2"/>
    <x v="1"/>
    <x v="0"/>
  </r>
  <r>
    <x v="9"/>
    <n v="10"/>
    <x v="4"/>
    <n v="46000"/>
    <n v="47000"/>
    <n v="1000"/>
    <n v="2.1739130434782608E-2"/>
    <x v="1"/>
    <x v="0"/>
  </r>
  <r>
    <x v="10"/>
    <n v="11"/>
    <x v="0"/>
    <n v="1500000"/>
    <n v="1520000"/>
    <n v="20000"/>
    <n v="1.3333333333333334E-2"/>
    <x v="0"/>
    <x v="1"/>
  </r>
  <r>
    <x v="10"/>
    <n v="11"/>
    <x v="1"/>
    <n v="325000"/>
    <n v="328000"/>
    <n v="3000"/>
    <n v="9.2307692307692316E-3"/>
    <x v="1"/>
    <x v="0"/>
  </r>
  <r>
    <x v="10"/>
    <n v="11"/>
    <x v="2"/>
    <n v="125000"/>
    <n v="130000"/>
    <n v="5000"/>
    <n v="0.04"/>
    <x v="1"/>
    <x v="0"/>
  </r>
  <r>
    <x v="10"/>
    <n v="11"/>
    <x v="3"/>
    <n v="56000"/>
    <n v="55000"/>
    <n v="-1000"/>
    <n v="-1.7857142857142856E-2"/>
    <x v="1"/>
    <x v="1"/>
  </r>
  <r>
    <x v="10"/>
    <n v="11"/>
    <x v="4"/>
    <n v="47000"/>
    <n v="49000"/>
    <n v="2000"/>
    <n v="4.2553191489361701E-2"/>
    <x v="1"/>
    <x v="0"/>
  </r>
  <r>
    <x v="11"/>
    <n v="12"/>
    <x v="0"/>
    <n v="1550000"/>
    <n v="1510000"/>
    <n v="-40000"/>
    <n v="-2.5806451612903226E-2"/>
    <x v="0"/>
    <x v="0"/>
  </r>
  <r>
    <x v="11"/>
    <n v="12"/>
    <x v="1"/>
    <n v="325000"/>
    <n v="326000"/>
    <n v="1000"/>
    <n v="3.0769230769230769E-3"/>
    <x v="1"/>
    <x v="0"/>
  </r>
  <r>
    <x v="11"/>
    <n v="12"/>
    <x v="2"/>
    <n v="130000"/>
    <n v="135000"/>
    <n v="5000"/>
    <n v="3.8461538461538464E-2"/>
    <x v="1"/>
    <x v="0"/>
  </r>
  <r>
    <x v="11"/>
    <n v="12"/>
    <x v="3"/>
    <n v="57000"/>
    <n v="60000"/>
    <n v="3000"/>
    <n v="5.2631578947368418E-2"/>
    <x v="1"/>
    <x v="0"/>
  </r>
  <r>
    <x v="11"/>
    <n v="12"/>
    <x v="4"/>
    <n v="48000"/>
    <n v="50000"/>
    <n v="2000"/>
    <n v="4.1666666666666664E-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30DE9-8F11-4FF2-9BA0-E9B5620D152F}"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2:B18" firstHeaderRow="1" firstDataRow="1" firstDataCol="1"/>
  <pivotFields count="9">
    <pivotField showAll="0">
      <items count="14">
        <item x="0"/>
        <item x="1"/>
        <item x="2"/>
        <item x="3"/>
        <item x="4"/>
        <item x="5"/>
        <item x="6"/>
        <item x="7"/>
        <item x="8"/>
        <item x="9"/>
        <item x="10"/>
        <item x="11"/>
        <item m="1" x="12"/>
        <item t="default"/>
      </items>
    </pivotField>
    <pivotField showAll="0"/>
    <pivotField axis="axisRow" showAll="0">
      <items count="6">
        <item x="0"/>
        <item x="1"/>
        <item x="2"/>
        <item x="3"/>
        <item x="4"/>
        <item t="default"/>
      </items>
    </pivotField>
    <pivotField showAll="0"/>
    <pivotField showAll="0"/>
    <pivotField dataField="1" numFmtId="3" showAll="0"/>
    <pivotField numFmtId="10" showAll="0"/>
    <pivotField showAll="0"/>
    <pivotField showAll="0"/>
  </pivotFields>
  <rowFields count="1">
    <field x="2"/>
  </rowFields>
  <rowItems count="6">
    <i>
      <x/>
    </i>
    <i>
      <x v="1"/>
    </i>
    <i>
      <x v="2"/>
    </i>
    <i>
      <x v="3"/>
    </i>
    <i>
      <x v="4"/>
    </i>
    <i t="grand">
      <x/>
    </i>
  </rowItems>
  <colItems count="1">
    <i/>
  </colItems>
  <dataFields count="1">
    <dataField name="Sum of Variance ₹" fld="5" baseField="0" baseItem="0" numFmtId="3"/>
  </dataFields>
  <formats count="1">
    <format dxfId="41">
      <pivotArea collapsedLevelsAreSubtotals="1" fieldPosition="0">
        <references count="2">
          <reference field="4294967294" count="1" selected="0">
            <x v="0"/>
          </reference>
          <reference field="2" count="0"/>
        </references>
      </pivotArea>
    </format>
  </formats>
  <chartFormats count="8">
    <chartFormat chart="0" format="2"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8" format="7">
      <pivotArea type="data" outline="0" fieldPosition="0">
        <references count="2">
          <reference field="4294967294" count="1" selected="0">
            <x v="0"/>
          </reference>
          <reference field="2" count="1" selected="0">
            <x v="2"/>
          </reference>
        </references>
      </pivotArea>
    </chartFormat>
    <chartFormat chart="18" format="8">
      <pivotArea type="data" outline="0" fieldPosition="0">
        <references count="2">
          <reference field="4294967294" count="1" selected="0">
            <x v="0"/>
          </reference>
          <reference field="2" count="1" selected="0">
            <x v="3"/>
          </reference>
        </references>
      </pivotArea>
    </chartFormat>
    <chartFormat chart="18" format="9">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DC06C3-BE19-4BD7-9D70-44C6E6406B39}"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9" firstHeaderRow="0" firstDataRow="1" firstDataCol="1"/>
  <pivotFields count="9">
    <pivotField showAll="0">
      <items count="14">
        <item x="0"/>
        <item x="1"/>
        <item x="2"/>
        <item x="3"/>
        <item x="4"/>
        <item x="5"/>
        <item x="6"/>
        <item x="7"/>
        <item x="8"/>
        <item x="9"/>
        <item x="10"/>
        <item x="11"/>
        <item m="1" x="12"/>
        <item t="default"/>
      </items>
    </pivotField>
    <pivotField showAll="0"/>
    <pivotField axis="axisRow" showAll="0">
      <items count="6">
        <item x="0"/>
        <item x="1"/>
        <item x="2"/>
        <item x="3"/>
        <item x="4"/>
        <item t="default"/>
      </items>
    </pivotField>
    <pivotField dataField="1" showAll="0"/>
    <pivotField dataField="1" showAll="0"/>
    <pivotField numFmtId="3" showAll="0"/>
    <pivotField numFmtId="10"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Budget" fld="3" baseField="0" baseItem="0"/>
    <dataField name="Sum of Actual" fld="4" baseField="0" baseItem="0"/>
  </dataFields>
  <formats count="2">
    <format dxfId="43">
      <pivotArea dataOnly="0" outline="0" fieldPosition="0">
        <references count="1">
          <reference field="4294967294" count="1">
            <x v="0"/>
          </reference>
        </references>
      </pivotArea>
    </format>
    <format dxfId="42">
      <pivotArea collapsedLevelsAreSubtotals="1" fieldPosition="0">
        <references count="2">
          <reference field="4294967294" count="1" selected="0">
            <x v="1"/>
          </reference>
          <reference field="2" count="0"/>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A1D22D-41B1-4255-97C3-2909920A8C3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9">
    <pivotField axis="axisRow" showAll="0" sortType="ascending">
      <items count="14">
        <item x="0"/>
        <item x="1"/>
        <item x="2"/>
        <item x="3"/>
        <item x="4"/>
        <item x="5"/>
        <item x="6"/>
        <item x="7"/>
        <item x="8"/>
        <item x="9"/>
        <item x="10"/>
        <item x="11"/>
        <item m="1" x="12"/>
        <item t="default"/>
      </items>
    </pivotField>
    <pivotField showAll="0"/>
    <pivotField showAll="0"/>
    <pivotField showAll="0"/>
    <pivotField showAll="0"/>
    <pivotField dataField="1" numFmtId="3" showAll="0"/>
    <pivotField numFmtId="10" showAll="0"/>
    <pivotField axis="axisCol" showAll="0">
      <items count="3">
        <item x="1"/>
        <item x="0"/>
        <item t="default"/>
      </items>
    </pivotField>
    <pivotField showAll="0"/>
  </pivotFields>
  <rowFields count="1">
    <field x="0"/>
  </rowFields>
  <rowItems count="13">
    <i>
      <x/>
    </i>
    <i>
      <x v="1"/>
    </i>
    <i>
      <x v="2"/>
    </i>
    <i>
      <x v="3"/>
    </i>
    <i>
      <x v="4"/>
    </i>
    <i>
      <x v="5"/>
    </i>
    <i>
      <x v="6"/>
    </i>
    <i>
      <x v="7"/>
    </i>
    <i>
      <x v="8"/>
    </i>
    <i>
      <x v="9"/>
    </i>
    <i>
      <x v="10"/>
    </i>
    <i>
      <x v="11"/>
    </i>
    <i t="grand">
      <x/>
    </i>
  </rowItems>
  <colFields count="1">
    <field x="7"/>
  </colFields>
  <colItems count="3">
    <i>
      <x/>
    </i>
    <i>
      <x v="1"/>
    </i>
    <i t="grand">
      <x/>
    </i>
  </colItems>
  <dataFields count="1">
    <dataField name="Sum of Variance ₹" fld="5" baseField="0" baseItem="0" numFmtId="3"/>
  </dataFields>
  <chartFormats count="2">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D1B82D-FA18-4425-A247-9348BA88A705}"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9">
    <pivotField showAll="0">
      <items count="14">
        <item x="0"/>
        <item x="1"/>
        <item x="2"/>
        <item x="3"/>
        <item x="4"/>
        <item x="5"/>
        <item x="6"/>
        <item x="7"/>
        <item x="8"/>
        <item x="9"/>
        <item x="10"/>
        <item x="11"/>
        <item m="1" x="12"/>
        <item t="default"/>
      </items>
    </pivotField>
    <pivotField showAll="0"/>
    <pivotField axis="axisRow" showAll="0">
      <items count="6">
        <item x="0"/>
        <item x="1"/>
        <item x="2"/>
        <item x="3"/>
        <item x="4"/>
        <item t="default"/>
      </items>
    </pivotField>
    <pivotField showAll="0"/>
    <pivotField showAll="0"/>
    <pivotField numFmtId="3" showAll="0"/>
    <pivotField numFmtId="10" showAll="0"/>
    <pivotField showAll="0"/>
    <pivotField axis="axisCol" dataField="1" showAll="0">
      <items count="3">
        <item x="1"/>
        <item x="0"/>
        <item t="default"/>
      </items>
    </pivotField>
  </pivotFields>
  <rowFields count="1">
    <field x="2"/>
  </rowFields>
  <rowItems count="6">
    <i>
      <x/>
    </i>
    <i>
      <x v="1"/>
    </i>
    <i>
      <x v="2"/>
    </i>
    <i>
      <x v="3"/>
    </i>
    <i>
      <x v="4"/>
    </i>
    <i t="grand">
      <x/>
    </i>
  </rowItems>
  <colFields count="1">
    <field x="8"/>
  </colFields>
  <colItems count="3">
    <i>
      <x/>
    </i>
    <i>
      <x v="1"/>
    </i>
    <i t="grand">
      <x/>
    </i>
  </colItems>
  <dataFields count="1">
    <dataField name="Count of Result" fld="8"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5DCFE6-8F3A-4482-8525-37343983578B}" sourceName="Month">
  <pivotTables>
    <pivotTable tabId="5" name="PivotTable1"/>
    <pivotTable tabId="5" name="PivotTable4"/>
    <pivotTable tabId="7" name="PivotTable3"/>
    <pivotTable tabId="6" name="PivotTable2"/>
  </pivotTables>
  <data>
    <tabular pivotCacheId="991572577">
      <items count="13">
        <i x="0" s="1"/>
        <i x="1" s="1"/>
        <i x="2" s="1"/>
        <i x="3" s="1"/>
        <i x="4" s="1"/>
        <i x="5" s="1"/>
        <i x="6" s="1"/>
        <i x="7" s="1"/>
        <i x="8" s="1"/>
        <i x="9" s="1"/>
        <i x="10" s="1"/>
        <i x="11"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7445179-A2F6-416B-AFF4-19DE843369EC}"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6C6641-83F9-4B97-A22A-D56BABA5C9EE}" name="Table2" displayName="Table2" ref="A1:I61" totalsRowShown="0" headerRowDxfId="51">
  <autoFilter ref="A1:I61" xr:uid="{6F6C6641-83F9-4B97-A22A-D56BABA5C9EE}"/>
  <tableColumns count="9">
    <tableColumn id="1" xr3:uid="{9A641811-DF09-4ADF-9886-D43F411DE1A7}" name="Month" dataDxfId="50"/>
    <tableColumn id="9" xr3:uid="{3EE0B459-037A-43C2-A261-44BEBB0D7D96}" name="Column1" dataDxfId="49"/>
    <tableColumn id="2" xr3:uid="{25F4232C-4914-491D-97AE-D08EC2A696E7}" name="Category"/>
    <tableColumn id="3" xr3:uid="{F85C8BB7-7C86-4537-9AD2-AFE0C96DB6D2}" name="Budget"/>
    <tableColumn id="4" xr3:uid="{060F46B9-ACB9-4BFB-8037-0B8446C4F9EF}" name="Actual"/>
    <tableColumn id="5" xr3:uid="{7915EA28-9E52-4E7F-9524-5C928590CB3D}" name="Variance ₹" dataDxfId="48">
      <calculatedColumnFormula>Table2[[#This Row],[Actual]]-Table2[[#This Row],[Budget]]</calculatedColumnFormula>
    </tableColumn>
    <tableColumn id="6" xr3:uid="{B7D6F512-F638-419C-80EF-5BDA9919BC67}" name="Variance %" dataDxfId="47">
      <calculatedColumnFormula>Table2[[#This Row],[Variance ₹]]/Table2[[#This Row],[Budget]]</calculatedColumnFormula>
    </tableColumn>
    <tableColumn id="7" xr3:uid="{1C9C6B83-2CFA-4F9F-8B45-8FBA570B7D51}" name="Type"/>
    <tableColumn id="8" xr3:uid="{0A830BFD-A31E-4385-BEE1-FAC10A0EDC02}" name="Result" dataDxfId="46">
      <calculatedColumnFormula>IF($H2="Revenue",IF($E2&gt;=$D2,"Favorable","Unfavorable"),IF($E2&lt;=$D2,"Favorable","Unfavorable"))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F984BA-C979-44D5-BD36-F679E23F8118}" name="Table35" displayName="Table35" ref="A10:F15" totalsRowShown="0">
  <autoFilter ref="A10:F15" xr:uid="{C4F984BA-C979-44D5-BD36-F679E23F8118}"/>
  <tableColumns count="6">
    <tableColumn id="1" xr3:uid="{A4D43577-BFC2-4525-93A8-8FFF83286CB3}" name="Category"/>
    <tableColumn id="2" xr3:uid="{ACED0228-E3EE-4458-9E57-E63A2DF2562C}" name="Budget">
      <calculatedColumnFormula>SUMIFS(Table2[Budget],Table2[Category],"Revenue")</calculatedColumnFormula>
    </tableColumn>
    <tableColumn id="3" xr3:uid="{BEECBE51-974B-4140-B112-8BC7DEA41F3C}" name="Actual">
      <calculatedColumnFormula>SUMIFS(Table2[Actual],Table2[Category],"Revenue")</calculatedColumnFormula>
    </tableColumn>
    <tableColumn id="4" xr3:uid="{BC4BB8E4-8B19-4137-A3B0-7D21FF4D849D}" name="Variance ₹">
      <calculatedColumnFormula>Table35[[#This Row],[Actual]]-Table35[[#This Row],[Budget]]</calculatedColumnFormula>
    </tableColumn>
    <tableColumn id="5" xr3:uid="{1E425DB3-EAC5-4083-B3C4-55645F35924B}" name=" Variance %" dataDxfId="45" dataCellStyle="Percent">
      <calculatedColumnFormula>Table35[[#This Row],[Variance ₹]]/Table35[[#This Row],[Budget]]</calculatedColumnFormula>
    </tableColumn>
    <tableColumn id="6" xr3:uid="{78DE8FA1-3228-4AD5-9937-01DC3CA2876E}" name="Result" dataDxfId="44">
      <calculatedColumnFormula>IF(Table35[[#This Row],[Category]]="Revenue",IF(Table35[[#This Row],[Variance ₹]]&gt;=0,"Favorable","Unfavorable"),IF(Table35[[#This Row],[Variance ₹]]&lt;=0,"Favorable","Unfavorable"))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1"/>
  <sheetViews>
    <sheetView zoomScaleNormal="100" workbookViewId="0">
      <pane ySplit="1" topLeftCell="A2" activePane="bottomLeft" state="frozen"/>
      <selection pane="bottomLeft" activeCell="Q10" sqref="Q10"/>
    </sheetView>
  </sheetViews>
  <sheetFormatPr defaultRowHeight="14.4" x14ac:dyDescent="0.3"/>
  <cols>
    <col min="1" max="2" width="9.88671875" customWidth="1"/>
    <col min="3" max="3" width="13.33203125" bestFit="1" customWidth="1"/>
    <col min="6" max="6" width="11.6640625" customWidth="1"/>
    <col min="7" max="7" width="12.109375" customWidth="1"/>
    <col min="9" max="9" width="11.109375" bestFit="1" customWidth="1"/>
    <col min="10" max="10" width="14.109375" bestFit="1" customWidth="1"/>
  </cols>
  <sheetData>
    <row r="1" spans="1:15" x14ac:dyDescent="0.3">
      <c r="A1" s="1" t="s">
        <v>0</v>
      </c>
      <c r="B1" s="1" t="s">
        <v>50</v>
      </c>
      <c r="C1" s="1" t="s">
        <v>5</v>
      </c>
      <c r="D1" s="1" t="s">
        <v>1</v>
      </c>
      <c r="E1" s="1" t="s">
        <v>2</v>
      </c>
      <c r="F1" s="1" t="s">
        <v>3</v>
      </c>
      <c r="G1" s="1" t="s">
        <v>4</v>
      </c>
      <c r="H1" s="1" t="s">
        <v>6</v>
      </c>
      <c r="I1" s="1" t="s">
        <v>24</v>
      </c>
    </row>
    <row r="2" spans="1:15" x14ac:dyDescent="0.3">
      <c r="A2" s="9" t="s">
        <v>18</v>
      </c>
      <c r="B2" s="27">
        <v>1</v>
      </c>
      <c r="C2" t="s">
        <v>19</v>
      </c>
      <c r="D2" s="3">
        <v>1000000</v>
      </c>
      <c r="E2" s="3">
        <v>950000</v>
      </c>
      <c r="F2" s="2">
        <f>Table2[[#This Row],[Actual]]-Table2[[#This Row],[Budget]]</f>
        <v>-50000</v>
      </c>
      <c r="G2" s="4">
        <f>Table2[[#This Row],[Variance ₹]]/Table2[[#This Row],[Budget]]</f>
        <v>-0.05</v>
      </c>
      <c r="H2" t="s">
        <v>19</v>
      </c>
      <c r="I2" s="5" t="str">
        <f>IF($H2="Revenue",IF($E2&gt;=$D2,"Favorable","Unfavorable"),IF($E2&lt;=$D2,"Favorable","Unfavorable"))</f>
        <v>Unfavorable</v>
      </c>
    </row>
    <row r="3" spans="1:15" x14ac:dyDescent="0.3">
      <c r="A3" s="9" t="s">
        <v>18</v>
      </c>
      <c r="B3" s="27">
        <v>1</v>
      </c>
      <c r="C3" t="s">
        <v>20</v>
      </c>
      <c r="D3" s="3">
        <v>300000</v>
      </c>
      <c r="E3" s="3">
        <v>320000</v>
      </c>
      <c r="F3" s="2">
        <f>Table2[[#This Row],[Actual]]-Table2[[#This Row],[Budget]]</f>
        <v>20000</v>
      </c>
      <c r="G3" s="4">
        <f>Table2[[#This Row],[Variance ₹]]/Table2[[#This Row],[Budget]]</f>
        <v>6.6666666666666666E-2</v>
      </c>
      <c r="H3" t="s">
        <v>23</v>
      </c>
      <c r="I3" s="5" t="str">
        <f t="shared" ref="I3:I61" si="0">IF($H3="Revenue",IF($E3&gt;=$D3,"Favorable","Unfavorable"),IF($E3&lt;=$D3,"Favorable","Unfavorable"))</f>
        <v>Unfavorable</v>
      </c>
    </row>
    <row r="4" spans="1:15" x14ac:dyDescent="0.3">
      <c r="A4" s="9" t="s">
        <v>18</v>
      </c>
      <c r="B4" s="27">
        <v>1</v>
      </c>
      <c r="C4" t="s">
        <v>21</v>
      </c>
      <c r="D4" s="3">
        <v>80000</v>
      </c>
      <c r="E4" s="3">
        <v>70000</v>
      </c>
      <c r="F4" s="2">
        <f>Table2[[#This Row],[Actual]]-Table2[[#This Row],[Budget]]</f>
        <v>-10000</v>
      </c>
      <c r="G4" s="4">
        <f>Table2[[#This Row],[Variance ₹]]/Table2[[#This Row],[Budget]]</f>
        <v>-0.125</v>
      </c>
      <c r="H4" t="s">
        <v>23</v>
      </c>
      <c r="I4" s="5" t="str">
        <f t="shared" si="0"/>
        <v>Favorable</v>
      </c>
    </row>
    <row r="5" spans="1:15" x14ac:dyDescent="0.3">
      <c r="A5" s="9" t="s">
        <v>18</v>
      </c>
      <c r="B5" s="27">
        <v>1</v>
      </c>
      <c r="C5" t="s">
        <v>22</v>
      </c>
      <c r="D5" s="3">
        <v>50000</v>
      </c>
      <c r="E5" s="3">
        <v>55000</v>
      </c>
      <c r="F5" s="2">
        <f>Table2[[#This Row],[Actual]]-Table2[[#This Row],[Budget]]</f>
        <v>5000</v>
      </c>
      <c r="G5" s="4">
        <f>Table2[[#This Row],[Variance ₹]]/Table2[[#This Row],[Budget]]</f>
        <v>0.1</v>
      </c>
      <c r="H5" t="s">
        <v>23</v>
      </c>
      <c r="I5" s="5" t="str">
        <f t="shared" si="0"/>
        <v>Unfavorable</v>
      </c>
      <c r="L5" s="1"/>
      <c r="O5" s="1"/>
    </row>
    <row r="6" spans="1:15" x14ac:dyDescent="0.3">
      <c r="A6" s="9" t="s">
        <v>18</v>
      </c>
      <c r="B6" s="27">
        <v>1</v>
      </c>
      <c r="C6" t="s">
        <v>8</v>
      </c>
      <c r="D6" s="3">
        <v>40000</v>
      </c>
      <c r="E6" s="3">
        <v>42000</v>
      </c>
      <c r="F6" s="2">
        <f>Table2[[#This Row],[Actual]]-Table2[[#This Row],[Budget]]</f>
        <v>2000</v>
      </c>
      <c r="G6" s="4">
        <f>Table2[[#This Row],[Variance ₹]]/Table2[[#This Row],[Budget]]</f>
        <v>0.05</v>
      </c>
      <c r="H6" t="s">
        <v>23</v>
      </c>
      <c r="I6" s="5" t="str">
        <f t="shared" si="0"/>
        <v>Unfavorable</v>
      </c>
    </row>
    <row r="7" spans="1:15" x14ac:dyDescent="0.3">
      <c r="A7" s="9" t="s">
        <v>42</v>
      </c>
      <c r="B7" s="27">
        <v>2</v>
      </c>
      <c r="C7" t="s">
        <v>19</v>
      </c>
      <c r="D7" s="3">
        <v>1050000</v>
      </c>
      <c r="E7">
        <v>1020000</v>
      </c>
      <c r="F7" s="2">
        <f>Table2[[#This Row],[Actual]]-Table2[[#This Row],[Budget]]</f>
        <v>-30000</v>
      </c>
      <c r="G7" s="4">
        <f>Table2[[#This Row],[Variance ₹]]/Table2[[#This Row],[Budget]]</f>
        <v>-2.8571428571428571E-2</v>
      </c>
      <c r="H7" t="s">
        <v>19</v>
      </c>
      <c r="I7" s="5" t="str">
        <f t="shared" si="0"/>
        <v>Unfavorable</v>
      </c>
    </row>
    <row r="8" spans="1:15" x14ac:dyDescent="0.3">
      <c r="A8" s="9" t="s">
        <v>42</v>
      </c>
      <c r="B8" s="27">
        <v>2</v>
      </c>
      <c r="C8" t="s">
        <v>20</v>
      </c>
      <c r="D8" s="3">
        <v>300000</v>
      </c>
      <c r="E8">
        <v>300000</v>
      </c>
      <c r="F8" s="2">
        <f>Table2[[#This Row],[Actual]]-Table2[[#This Row],[Budget]]</f>
        <v>0</v>
      </c>
      <c r="G8" s="4">
        <f>Table2[[#This Row],[Variance ₹]]/Table2[[#This Row],[Budget]]</f>
        <v>0</v>
      </c>
      <c r="H8" t="s">
        <v>23</v>
      </c>
      <c r="I8" s="5" t="str">
        <f t="shared" si="0"/>
        <v>Favorable</v>
      </c>
    </row>
    <row r="9" spans="1:15" x14ac:dyDescent="0.3">
      <c r="A9" s="9" t="s">
        <v>42</v>
      </c>
      <c r="B9" s="27">
        <v>2</v>
      </c>
      <c r="C9" t="s">
        <v>21</v>
      </c>
      <c r="D9" s="3">
        <v>85000</v>
      </c>
      <c r="E9">
        <v>88000</v>
      </c>
      <c r="F9" s="2">
        <f>Table2[[#This Row],[Actual]]-Table2[[#This Row],[Budget]]</f>
        <v>3000</v>
      </c>
      <c r="G9" s="4">
        <f>Table2[[#This Row],[Variance ₹]]/Table2[[#This Row],[Budget]]</f>
        <v>3.5294117647058823E-2</v>
      </c>
      <c r="H9" t="s">
        <v>23</v>
      </c>
      <c r="I9" s="5" t="str">
        <f t="shared" si="0"/>
        <v>Unfavorable</v>
      </c>
    </row>
    <row r="10" spans="1:15" x14ac:dyDescent="0.3">
      <c r="A10" s="9" t="s">
        <v>42</v>
      </c>
      <c r="B10" s="27">
        <v>2</v>
      </c>
      <c r="C10" t="s">
        <v>22</v>
      </c>
      <c r="D10" s="3">
        <v>50000</v>
      </c>
      <c r="E10">
        <v>48000</v>
      </c>
      <c r="F10" s="2">
        <f>Table2[[#This Row],[Actual]]-Table2[[#This Row],[Budget]]</f>
        <v>-2000</v>
      </c>
      <c r="G10" s="4">
        <f>Table2[[#This Row],[Variance ₹]]/Table2[[#This Row],[Budget]]</f>
        <v>-0.04</v>
      </c>
      <c r="H10" t="s">
        <v>23</v>
      </c>
      <c r="I10" s="5" t="str">
        <f t="shared" si="0"/>
        <v>Favorable</v>
      </c>
    </row>
    <row r="11" spans="1:15" x14ac:dyDescent="0.3">
      <c r="A11" s="9" t="s">
        <v>42</v>
      </c>
      <c r="B11" s="27">
        <v>2</v>
      </c>
      <c r="C11" t="s">
        <v>8</v>
      </c>
      <c r="D11" s="3">
        <v>42000</v>
      </c>
      <c r="E11">
        <v>43000</v>
      </c>
      <c r="F11" s="2">
        <f>Table2[[#This Row],[Actual]]-Table2[[#This Row],[Budget]]</f>
        <v>1000</v>
      </c>
      <c r="G11" s="4">
        <f>Table2[[#This Row],[Variance ₹]]/Table2[[#This Row],[Budget]]</f>
        <v>2.3809523809523808E-2</v>
      </c>
      <c r="H11" t="s">
        <v>23</v>
      </c>
      <c r="I11" s="5" t="str">
        <f t="shared" si="0"/>
        <v>Unfavorable</v>
      </c>
    </row>
    <row r="12" spans="1:15" x14ac:dyDescent="0.3">
      <c r="A12" s="9" t="s">
        <v>9</v>
      </c>
      <c r="B12" s="27">
        <v>3</v>
      </c>
      <c r="C12" t="s">
        <v>19</v>
      </c>
      <c r="D12">
        <v>1100000</v>
      </c>
      <c r="E12">
        <v>1130000</v>
      </c>
      <c r="F12" s="2">
        <f>Table2[[#This Row],[Actual]]-Table2[[#This Row],[Budget]]</f>
        <v>30000</v>
      </c>
      <c r="G12" s="4">
        <f>Table2[[#This Row],[Variance ₹]]/Table2[[#This Row],[Budget]]</f>
        <v>2.7272727272727271E-2</v>
      </c>
      <c r="H12" t="s">
        <v>19</v>
      </c>
      <c r="I12" s="5" t="str">
        <f t="shared" si="0"/>
        <v>Favorable</v>
      </c>
    </row>
    <row r="13" spans="1:15" x14ac:dyDescent="0.3">
      <c r="A13" s="9" t="s">
        <v>9</v>
      </c>
      <c r="B13" s="27">
        <v>3</v>
      </c>
      <c r="C13" t="s">
        <v>20</v>
      </c>
      <c r="D13">
        <v>305000</v>
      </c>
      <c r="E13">
        <v>308000</v>
      </c>
      <c r="F13" s="2">
        <f>Table2[[#This Row],[Actual]]-Table2[[#This Row],[Budget]]</f>
        <v>3000</v>
      </c>
      <c r="G13" s="4">
        <f>Table2[[#This Row],[Variance ₹]]/Table2[[#This Row],[Budget]]</f>
        <v>9.8360655737704927E-3</v>
      </c>
      <c r="H13" t="s">
        <v>23</v>
      </c>
      <c r="I13" s="5" t="str">
        <f>IF($H13="Revenue",IF($E13&gt;=$D13,"Favorable","Unfavorable"),IF($E13&lt;=$D13,"Favorable","Unfavorable"))</f>
        <v>Unfavorable</v>
      </c>
    </row>
    <row r="14" spans="1:15" x14ac:dyDescent="0.3">
      <c r="A14" s="9" t="s">
        <v>9</v>
      </c>
      <c r="B14" s="27">
        <v>3</v>
      </c>
      <c r="C14" t="s">
        <v>21</v>
      </c>
      <c r="D14">
        <v>90000</v>
      </c>
      <c r="E14">
        <v>95000</v>
      </c>
      <c r="F14" s="2">
        <f>Table2[[#This Row],[Actual]]-Table2[[#This Row],[Budget]]</f>
        <v>5000</v>
      </c>
      <c r="G14" s="4">
        <f>Table2[[#This Row],[Variance ₹]]/Table2[[#This Row],[Budget]]</f>
        <v>5.5555555555555552E-2</v>
      </c>
      <c r="H14" t="s">
        <v>23</v>
      </c>
      <c r="I14" s="5" t="str">
        <f t="shared" si="0"/>
        <v>Unfavorable</v>
      </c>
    </row>
    <row r="15" spans="1:15" x14ac:dyDescent="0.3">
      <c r="A15" s="9" t="s">
        <v>9</v>
      </c>
      <c r="B15" s="27">
        <v>3</v>
      </c>
      <c r="C15" t="s">
        <v>22</v>
      </c>
      <c r="D15">
        <v>52000</v>
      </c>
      <c r="E15">
        <v>54000</v>
      </c>
      <c r="F15" s="2">
        <f>Table2[[#This Row],[Actual]]-Table2[[#This Row],[Budget]]</f>
        <v>2000</v>
      </c>
      <c r="G15" s="4">
        <f>Table2[[#This Row],[Variance ₹]]/Table2[[#This Row],[Budget]]</f>
        <v>3.8461538461538464E-2</v>
      </c>
      <c r="H15" t="s">
        <v>23</v>
      </c>
      <c r="I15" s="5" t="str">
        <f t="shared" si="0"/>
        <v>Unfavorable</v>
      </c>
    </row>
    <row r="16" spans="1:15" x14ac:dyDescent="0.3">
      <c r="A16" s="9" t="s">
        <v>9</v>
      </c>
      <c r="B16" s="27">
        <v>3</v>
      </c>
      <c r="C16" t="s">
        <v>8</v>
      </c>
      <c r="D16">
        <v>42000</v>
      </c>
      <c r="E16">
        <v>41000</v>
      </c>
      <c r="F16" s="2">
        <f>Table2[[#This Row],[Actual]]-Table2[[#This Row],[Budget]]</f>
        <v>-1000</v>
      </c>
      <c r="G16" s="4">
        <f>Table2[[#This Row],[Variance ₹]]/Table2[[#This Row],[Budget]]</f>
        <v>-2.3809523809523808E-2</v>
      </c>
      <c r="H16" t="s">
        <v>23</v>
      </c>
      <c r="I16" s="5" t="str">
        <f t="shared" si="0"/>
        <v>Favorable</v>
      </c>
    </row>
    <row r="17" spans="1:9" x14ac:dyDescent="0.3">
      <c r="A17" s="9" t="s">
        <v>10</v>
      </c>
      <c r="B17" s="27">
        <v>4</v>
      </c>
      <c r="C17" t="s">
        <v>19</v>
      </c>
      <c r="D17">
        <v>1150000</v>
      </c>
      <c r="E17">
        <v>1110000</v>
      </c>
      <c r="F17" s="2">
        <f>Table2[[#This Row],[Actual]]-Table2[[#This Row],[Budget]]</f>
        <v>-40000</v>
      </c>
      <c r="G17" s="4">
        <f>Table2[[#This Row],[Variance ₹]]/Table2[[#This Row],[Budget]]</f>
        <v>-3.4782608695652174E-2</v>
      </c>
      <c r="H17" t="s">
        <v>19</v>
      </c>
      <c r="I17" s="5" t="str">
        <f t="shared" si="0"/>
        <v>Unfavorable</v>
      </c>
    </row>
    <row r="18" spans="1:9" x14ac:dyDescent="0.3">
      <c r="A18" s="9" t="s">
        <v>10</v>
      </c>
      <c r="B18" s="27">
        <v>4</v>
      </c>
      <c r="C18" t="s">
        <v>20</v>
      </c>
      <c r="D18">
        <v>305000</v>
      </c>
      <c r="E18">
        <v>305000</v>
      </c>
      <c r="F18" s="2">
        <f>Table2[[#This Row],[Actual]]-Table2[[#This Row],[Budget]]</f>
        <v>0</v>
      </c>
      <c r="G18" s="4">
        <f>Table2[[#This Row],[Variance ₹]]/Table2[[#This Row],[Budget]]</f>
        <v>0</v>
      </c>
      <c r="H18" t="s">
        <v>23</v>
      </c>
      <c r="I18" s="5" t="str">
        <f t="shared" si="0"/>
        <v>Favorable</v>
      </c>
    </row>
    <row r="19" spans="1:9" x14ac:dyDescent="0.3">
      <c r="A19" s="9" t="s">
        <v>10</v>
      </c>
      <c r="B19" s="27">
        <v>4</v>
      </c>
      <c r="C19" t="s">
        <v>21</v>
      </c>
      <c r="D19">
        <v>95000</v>
      </c>
      <c r="E19">
        <v>102000</v>
      </c>
      <c r="F19" s="2">
        <f>Table2[[#This Row],[Actual]]-Table2[[#This Row],[Budget]]</f>
        <v>7000</v>
      </c>
      <c r="G19" s="4">
        <f>Table2[[#This Row],[Variance ₹]]/Table2[[#This Row],[Budget]]</f>
        <v>7.3684210526315783E-2</v>
      </c>
      <c r="H19" t="s">
        <v>23</v>
      </c>
      <c r="I19" s="5" t="str">
        <f t="shared" si="0"/>
        <v>Unfavorable</v>
      </c>
    </row>
    <row r="20" spans="1:9" x14ac:dyDescent="0.3">
      <c r="A20" s="9" t="s">
        <v>10</v>
      </c>
      <c r="B20" s="27">
        <v>4</v>
      </c>
      <c r="C20" t="s">
        <v>22</v>
      </c>
      <c r="D20">
        <v>52000</v>
      </c>
      <c r="E20">
        <v>50000</v>
      </c>
      <c r="F20" s="2">
        <f>Table2[[#This Row],[Actual]]-Table2[[#This Row],[Budget]]</f>
        <v>-2000</v>
      </c>
      <c r="G20" s="4">
        <f>Table2[[#This Row],[Variance ₹]]/Table2[[#This Row],[Budget]]</f>
        <v>-3.8461538461538464E-2</v>
      </c>
      <c r="H20" t="s">
        <v>23</v>
      </c>
      <c r="I20" s="5" t="str">
        <f t="shared" si="0"/>
        <v>Favorable</v>
      </c>
    </row>
    <row r="21" spans="1:9" x14ac:dyDescent="0.3">
      <c r="A21" s="9" t="s">
        <v>10</v>
      </c>
      <c r="B21" s="27">
        <v>4</v>
      </c>
      <c r="C21" t="s">
        <v>8</v>
      </c>
      <c r="D21">
        <v>43000</v>
      </c>
      <c r="E21">
        <v>45000</v>
      </c>
      <c r="F21" s="2">
        <f>Table2[[#This Row],[Actual]]-Table2[[#This Row],[Budget]]</f>
        <v>2000</v>
      </c>
      <c r="G21" s="4">
        <f>Table2[[#This Row],[Variance ₹]]/Table2[[#This Row],[Budget]]</f>
        <v>4.6511627906976744E-2</v>
      </c>
      <c r="H21" t="s">
        <v>23</v>
      </c>
      <c r="I21" s="5" t="str">
        <f t="shared" si="0"/>
        <v>Unfavorable</v>
      </c>
    </row>
    <row r="22" spans="1:9" x14ac:dyDescent="0.3">
      <c r="A22" s="9" t="s">
        <v>7</v>
      </c>
      <c r="B22" s="27">
        <v>5</v>
      </c>
      <c r="C22" t="s">
        <v>19</v>
      </c>
      <c r="D22">
        <v>1200000</v>
      </c>
      <c r="E22">
        <v>1240000</v>
      </c>
      <c r="F22" s="2">
        <f>Table2[[#This Row],[Actual]]-Table2[[#This Row],[Budget]]</f>
        <v>40000</v>
      </c>
      <c r="G22" s="4">
        <f>Table2[[#This Row],[Variance ₹]]/Table2[[#This Row],[Budget]]</f>
        <v>3.3333333333333333E-2</v>
      </c>
      <c r="H22" t="s">
        <v>19</v>
      </c>
      <c r="I22" s="5" t="str">
        <f t="shared" si="0"/>
        <v>Favorable</v>
      </c>
    </row>
    <row r="23" spans="1:9" x14ac:dyDescent="0.3">
      <c r="A23" s="9" t="s">
        <v>7</v>
      </c>
      <c r="B23" s="27">
        <v>5</v>
      </c>
      <c r="C23" t="s">
        <v>20</v>
      </c>
      <c r="D23">
        <v>310000</v>
      </c>
      <c r="E23">
        <v>315000</v>
      </c>
      <c r="F23" s="2">
        <f>Table2[[#This Row],[Actual]]-Table2[[#This Row],[Budget]]</f>
        <v>5000</v>
      </c>
      <c r="G23" s="4">
        <f>Table2[[#This Row],[Variance ₹]]/Table2[[#This Row],[Budget]]</f>
        <v>1.6129032258064516E-2</v>
      </c>
      <c r="H23" t="s">
        <v>23</v>
      </c>
      <c r="I23" s="5" t="str">
        <f t="shared" si="0"/>
        <v>Unfavorable</v>
      </c>
    </row>
    <row r="24" spans="1:9" x14ac:dyDescent="0.3">
      <c r="A24" s="9" t="s">
        <v>7</v>
      </c>
      <c r="B24" s="27">
        <v>5</v>
      </c>
      <c r="C24" t="s">
        <v>21</v>
      </c>
      <c r="D24">
        <v>100000</v>
      </c>
      <c r="E24">
        <v>98000</v>
      </c>
      <c r="F24" s="2">
        <f>Table2[[#This Row],[Actual]]-Table2[[#This Row],[Budget]]</f>
        <v>-2000</v>
      </c>
      <c r="G24" s="4">
        <f>Table2[[#This Row],[Variance ₹]]/Table2[[#This Row],[Budget]]</f>
        <v>-0.02</v>
      </c>
      <c r="H24" t="s">
        <v>23</v>
      </c>
      <c r="I24" s="5" t="str">
        <f t="shared" si="0"/>
        <v>Favorable</v>
      </c>
    </row>
    <row r="25" spans="1:9" x14ac:dyDescent="0.3">
      <c r="A25" s="9" t="s">
        <v>7</v>
      </c>
      <c r="B25" s="27">
        <v>5</v>
      </c>
      <c r="C25" t="s">
        <v>22</v>
      </c>
      <c r="D25">
        <v>53000</v>
      </c>
      <c r="E25">
        <v>55000</v>
      </c>
      <c r="F25" s="2">
        <f>Table2[[#This Row],[Actual]]-Table2[[#This Row],[Budget]]</f>
        <v>2000</v>
      </c>
      <c r="G25" s="4">
        <f>Table2[[#This Row],[Variance ₹]]/Table2[[#This Row],[Budget]]</f>
        <v>3.7735849056603772E-2</v>
      </c>
      <c r="H25" t="s">
        <v>23</v>
      </c>
      <c r="I25" s="5" t="str">
        <f t="shared" si="0"/>
        <v>Unfavorable</v>
      </c>
    </row>
    <row r="26" spans="1:9" x14ac:dyDescent="0.3">
      <c r="A26" s="9" t="s">
        <v>7</v>
      </c>
      <c r="B26" s="27">
        <v>5</v>
      </c>
      <c r="C26" t="s">
        <v>8</v>
      </c>
      <c r="D26">
        <v>43000</v>
      </c>
      <c r="E26">
        <v>44000</v>
      </c>
      <c r="F26" s="2">
        <f>Table2[[#This Row],[Actual]]-Table2[[#This Row],[Budget]]</f>
        <v>1000</v>
      </c>
      <c r="G26" s="4">
        <f>Table2[[#This Row],[Variance ₹]]/Table2[[#This Row],[Budget]]</f>
        <v>2.3255813953488372E-2</v>
      </c>
      <c r="H26" t="s">
        <v>23</v>
      </c>
      <c r="I26" s="5" t="str">
        <f t="shared" si="0"/>
        <v>Unfavorable</v>
      </c>
    </row>
    <row r="27" spans="1:9" x14ac:dyDescent="0.3">
      <c r="A27" s="9" t="s">
        <v>11</v>
      </c>
      <c r="B27" s="27">
        <v>6</v>
      </c>
      <c r="C27" t="s">
        <v>19</v>
      </c>
      <c r="D27">
        <v>1250000</v>
      </c>
      <c r="E27">
        <v>1210000</v>
      </c>
      <c r="F27" s="2">
        <f>Table2[[#This Row],[Actual]]-Table2[[#This Row],[Budget]]</f>
        <v>-40000</v>
      </c>
      <c r="G27" s="4">
        <f>Table2[[#This Row],[Variance ₹]]/Table2[[#This Row],[Budget]]</f>
        <v>-3.2000000000000001E-2</v>
      </c>
      <c r="H27" t="s">
        <v>19</v>
      </c>
      <c r="I27" s="5" t="str">
        <f t="shared" si="0"/>
        <v>Unfavorable</v>
      </c>
    </row>
    <row r="28" spans="1:9" x14ac:dyDescent="0.3">
      <c r="A28" s="9" t="s">
        <v>11</v>
      </c>
      <c r="B28" s="27">
        <v>6</v>
      </c>
      <c r="C28" t="s">
        <v>20</v>
      </c>
      <c r="D28">
        <v>310000</v>
      </c>
      <c r="E28">
        <v>312000</v>
      </c>
      <c r="F28" s="2">
        <f>Table2[[#This Row],[Actual]]-Table2[[#This Row],[Budget]]</f>
        <v>2000</v>
      </c>
      <c r="G28" s="4">
        <f>Table2[[#This Row],[Variance ₹]]/Table2[[#This Row],[Budget]]</f>
        <v>6.4516129032258064E-3</v>
      </c>
      <c r="H28" t="s">
        <v>23</v>
      </c>
      <c r="I28" s="5" t="str">
        <f t="shared" si="0"/>
        <v>Unfavorable</v>
      </c>
    </row>
    <row r="29" spans="1:9" x14ac:dyDescent="0.3">
      <c r="A29" s="9" t="s">
        <v>11</v>
      </c>
      <c r="B29" s="27">
        <v>6</v>
      </c>
      <c r="C29" t="s">
        <v>21</v>
      </c>
      <c r="D29">
        <v>105000</v>
      </c>
      <c r="E29">
        <v>110000</v>
      </c>
      <c r="F29" s="2">
        <f>Table2[[#This Row],[Actual]]-Table2[[#This Row],[Budget]]</f>
        <v>5000</v>
      </c>
      <c r="G29" s="4">
        <f>Table2[[#This Row],[Variance ₹]]/Table2[[#This Row],[Budget]]</f>
        <v>4.7619047619047616E-2</v>
      </c>
      <c r="H29" t="s">
        <v>23</v>
      </c>
      <c r="I29" s="5" t="str">
        <f t="shared" si="0"/>
        <v>Unfavorable</v>
      </c>
    </row>
    <row r="30" spans="1:9" x14ac:dyDescent="0.3">
      <c r="A30" s="9" t="s">
        <v>11</v>
      </c>
      <c r="B30" s="27">
        <v>6</v>
      </c>
      <c r="C30" t="s">
        <v>22</v>
      </c>
      <c r="D30">
        <v>53000</v>
      </c>
      <c r="E30">
        <v>56000</v>
      </c>
      <c r="F30" s="2">
        <f>Table2[[#This Row],[Actual]]-Table2[[#This Row],[Budget]]</f>
        <v>3000</v>
      </c>
      <c r="G30" s="4">
        <f>Table2[[#This Row],[Variance ₹]]/Table2[[#This Row],[Budget]]</f>
        <v>5.6603773584905662E-2</v>
      </c>
      <c r="H30" t="s">
        <v>23</v>
      </c>
      <c r="I30" s="5" t="str">
        <f t="shared" si="0"/>
        <v>Unfavorable</v>
      </c>
    </row>
    <row r="31" spans="1:9" x14ac:dyDescent="0.3">
      <c r="A31" s="9" t="s">
        <v>11</v>
      </c>
      <c r="B31" s="27">
        <v>6</v>
      </c>
      <c r="C31" t="s">
        <v>8</v>
      </c>
      <c r="D31">
        <v>44000</v>
      </c>
      <c r="E31">
        <v>46000</v>
      </c>
      <c r="F31" s="2">
        <f>Table2[[#This Row],[Actual]]-Table2[[#This Row],[Budget]]</f>
        <v>2000</v>
      </c>
      <c r="G31" s="4">
        <f>Table2[[#This Row],[Variance ₹]]/Table2[[#This Row],[Budget]]</f>
        <v>4.5454545454545456E-2</v>
      </c>
      <c r="H31" t="s">
        <v>23</v>
      </c>
      <c r="I31" s="5" t="str">
        <f t="shared" si="0"/>
        <v>Unfavorable</v>
      </c>
    </row>
    <row r="32" spans="1:9" x14ac:dyDescent="0.3">
      <c r="A32" s="9" t="s">
        <v>12</v>
      </c>
      <c r="B32" s="27">
        <v>7</v>
      </c>
      <c r="C32" t="s">
        <v>19</v>
      </c>
      <c r="D32">
        <v>1300000</v>
      </c>
      <c r="E32">
        <v>1280000</v>
      </c>
      <c r="F32" s="2">
        <f>Table2[[#This Row],[Actual]]-Table2[[#This Row],[Budget]]</f>
        <v>-20000</v>
      </c>
      <c r="G32" s="4">
        <f>Table2[[#This Row],[Variance ₹]]/Table2[[#This Row],[Budget]]</f>
        <v>-1.5384615384615385E-2</v>
      </c>
      <c r="H32" t="s">
        <v>19</v>
      </c>
      <c r="I32" s="5" t="str">
        <f t="shared" si="0"/>
        <v>Unfavorable</v>
      </c>
    </row>
    <row r="33" spans="1:9" x14ac:dyDescent="0.3">
      <c r="A33" s="9" t="s">
        <v>12</v>
      </c>
      <c r="B33" s="27">
        <v>7</v>
      </c>
      <c r="C33" t="s">
        <v>20</v>
      </c>
      <c r="D33">
        <v>315000</v>
      </c>
      <c r="E33">
        <v>318000</v>
      </c>
      <c r="F33" s="2">
        <f>Table2[[#This Row],[Actual]]-Table2[[#This Row],[Budget]]</f>
        <v>3000</v>
      </c>
      <c r="G33" s="4">
        <f>Table2[[#This Row],[Variance ₹]]/Table2[[#This Row],[Budget]]</f>
        <v>9.5238095238095247E-3</v>
      </c>
      <c r="H33" t="s">
        <v>23</v>
      </c>
      <c r="I33" s="5" t="str">
        <f t="shared" si="0"/>
        <v>Unfavorable</v>
      </c>
    </row>
    <row r="34" spans="1:9" x14ac:dyDescent="0.3">
      <c r="A34" s="9" t="s">
        <v>12</v>
      </c>
      <c r="B34" s="27">
        <v>7</v>
      </c>
      <c r="C34" t="s">
        <v>21</v>
      </c>
      <c r="D34">
        <v>110000</v>
      </c>
      <c r="E34">
        <v>105000</v>
      </c>
      <c r="F34" s="2">
        <f>Table2[[#This Row],[Actual]]-Table2[[#This Row],[Budget]]</f>
        <v>-5000</v>
      </c>
      <c r="G34" s="4">
        <f>Table2[[#This Row],[Variance ₹]]/Table2[[#This Row],[Budget]]</f>
        <v>-4.5454545454545456E-2</v>
      </c>
      <c r="H34" t="s">
        <v>23</v>
      </c>
      <c r="I34" s="5" t="str">
        <f t="shared" si="0"/>
        <v>Favorable</v>
      </c>
    </row>
    <row r="35" spans="1:9" x14ac:dyDescent="0.3">
      <c r="A35" s="9" t="s">
        <v>12</v>
      </c>
      <c r="B35" s="27">
        <v>7</v>
      </c>
      <c r="C35" t="s">
        <v>22</v>
      </c>
      <c r="D35">
        <v>54000</v>
      </c>
      <c r="E35">
        <v>56000</v>
      </c>
      <c r="F35" s="2">
        <f>Table2[[#This Row],[Actual]]-Table2[[#This Row],[Budget]]</f>
        <v>2000</v>
      </c>
      <c r="G35" s="4">
        <f>Table2[[#This Row],[Variance ₹]]/Table2[[#This Row],[Budget]]</f>
        <v>3.7037037037037035E-2</v>
      </c>
      <c r="H35" t="s">
        <v>23</v>
      </c>
      <c r="I35" s="5" t="str">
        <f t="shared" si="0"/>
        <v>Unfavorable</v>
      </c>
    </row>
    <row r="36" spans="1:9" x14ac:dyDescent="0.3">
      <c r="A36" s="9" t="s">
        <v>12</v>
      </c>
      <c r="B36" s="27">
        <v>7</v>
      </c>
      <c r="C36" t="s">
        <v>8</v>
      </c>
      <c r="D36">
        <v>45000</v>
      </c>
      <c r="E36">
        <v>46000</v>
      </c>
      <c r="F36" s="2">
        <f>Table2[[#This Row],[Actual]]-Table2[[#This Row],[Budget]]</f>
        <v>1000</v>
      </c>
      <c r="G36" s="4">
        <f>Table2[[#This Row],[Variance ₹]]/Table2[[#This Row],[Budget]]</f>
        <v>2.2222222222222223E-2</v>
      </c>
      <c r="H36" t="s">
        <v>23</v>
      </c>
      <c r="I36" s="5" t="str">
        <f t="shared" si="0"/>
        <v>Unfavorable</v>
      </c>
    </row>
    <row r="37" spans="1:9" x14ac:dyDescent="0.3">
      <c r="A37" s="9" t="s">
        <v>13</v>
      </c>
      <c r="B37" s="27">
        <v>8</v>
      </c>
      <c r="C37" t="s">
        <v>19</v>
      </c>
      <c r="D37">
        <v>1350000</v>
      </c>
      <c r="E37">
        <v>1370000</v>
      </c>
      <c r="F37" s="2">
        <f>Table2[[#This Row],[Actual]]-Table2[[#This Row],[Budget]]</f>
        <v>20000</v>
      </c>
      <c r="G37" s="4">
        <f>Table2[[#This Row],[Variance ₹]]/Table2[[#This Row],[Budget]]</f>
        <v>1.4814814814814815E-2</v>
      </c>
      <c r="H37" t="s">
        <v>19</v>
      </c>
      <c r="I37" s="5" t="str">
        <f t="shared" si="0"/>
        <v>Favorable</v>
      </c>
    </row>
    <row r="38" spans="1:9" x14ac:dyDescent="0.3">
      <c r="A38" s="9" t="s">
        <v>13</v>
      </c>
      <c r="B38" s="27">
        <v>8</v>
      </c>
      <c r="C38" t="s">
        <v>20</v>
      </c>
      <c r="D38">
        <v>315000</v>
      </c>
      <c r="E38">
        <v>315000</v>
      </c>
      <c r="F38" s="2">
        <f>Table2[[#This Row],[Actual]]-Table2[[#This Row],[Budget]]</f>
        <v>0</v>
      </c>
      <c r="G38" s="4">
        <f>Table2[[#This Row],[Variance ₹]]/Table2[[#This Row],[Budget]]</f>
        <v>0</v>
      </c>
      <c r="H38" t="s">
        <v>23</v>
      </c>
      <c r="I38" s="5" t="str">
        <f t="shared" si="0"/>
        <v>Favorable</v>
      </c>
    </row>
    <row r="39" spans="1:9" x14ac:dyDescent="0.3">
      <c r="A39" s="9" t="s">
        <v>13</v>
      </c>
      <c r="B39" s="27">
        <v>8</v>
      </c>
      <c r="C39" t="s">
        <v>21</v>
      </c>
      <c r="D39">
        <v>115000</v>
      </c>
      <c r="E39">
        <v>122000</v>
      </c>
      <c r="F39" s="2">
        <f>Table2[[#This Row],[Actual]]-Table2[[#This Row],[Budget]]</f>
        <v>7000</v>
      </c>
      <c r="G39" s="4">
        <f>Table2[[#This Row],[Variance ₹]]/Table2[[#This Row],[Budget]]</f>
        <v>6.0869565217391307E-2</v>
      </c>
      <c r="H39" t="s">
        <v>23</v>
      </c>
      <c r="I39" s="5" t="str">
        <f t="shared" si="0"/>
        <v>Unfavorable</v>
      </c>
    </row>
    <row r="40" spans="1:9" x14ac:dyDescent="0.3">
      <c r="A40" s="9" t="s">
        <v>13</v>
      </c>
      <c r="B40" s="27">
        <v>8</v>
      </c>
      <c r="C40" t="s">
        <v>22</v>
      </c>
      <c r="D40">
        <v>55000</v>
      </c>
      <c r="E40">
        <v>54000</v>
      </c>
      <c r="F40" s="2">
        <f>Table2[[#This Row],[Actual]]-Table2[[#This Row],[Budget]]</f>
        <v>-1000</v>
      </c>
      <c r="G40" s="4">
        <f>Table2[[#This Row],[Variance ₹]]/Table2[[#This Row],[Budget]]</f>
        <v>-1.8181818181818181E-2</v>
      </c>
      <c r="H40" t="s">
        <v>23</v>
      </c>
      <c r="I40" s="5" t="str">
        <f t="shared" si="0"/>
        <v>Favorable</v>
      </c>
    </row>
    <row r="41" spans="1:9" x14ac:dyDescent="0.3">
      <c r="A41" s="9" t="s">
        <v>13</v>
      </c>
      <c r="B41" s="27">
        <v>8</v>
      </c>
      <c r="C41" t="s">
        <v>8</v>
      </c>
      <c r="D41">
        <v>45000</v>
      </c>
      <c r="E41">
        <v>44000</v>
      </c>
      <c r="F41" s="2">
        <f>Table2[[#This Row],[Actual]]-Table2[[#This Row],[Budget]]</f>
        <v>-1000</v>
      </c>
      <c r="G41" s="4">
        <f>Table2[[#This Row],[Variance ₹]]/Table2[[#This Row],[Budget]]</f>
        <v>-2.2222222222222223E-2</v>
      </c>
      <c r="H41" t="s">
        <v>23</v>
      </c>
      <c r="I41" s="5" t="str">
        <f t="shared" si="0"/>
        <v>Favorable</v>
      </c>
    </row>
    <row r="42" spans="1:9" x14ac:dyDescent="0.3">
      <c r="A42" s="9" t="s">
        <v>14</v>
      </c>
      <c r="B42" s="27">
        <v>9</v>
      </c>
      <c r="C42" t="s">
        <v>19</v>
      </c>
      <c r="D42">
        <v>1400000</v>
      </c>
      <c r="E42">
        <v>1360000</v>
      </c>
      <c r="F42" s="2">
        <f>Table2[[#This Row],[Actual]]-Table2[[#This Row],[Budget]]</f>
        <v>-40000</v>
      </c>
      <c r="G42" s="4">
        <f>Table2[[#This Row],[Variance ₹]]/Table2[[#This Row],[Budget]]</f>
        <v>-2.8571428571428571E-2</v>
      </c>
      <c r="H42" t="s">
        <v>19</v>
      </c>
      <c r="I42" s="5" t="str">
        <f t="shared" si="0"/>
        <v>Unfavorable</v>
      </c>
    </row>
    <row r="43" spans="1:9" x14ac:dyDescent="0.3">
      <c r="A43" s="9" t="s">
        <v>14</v>
      </c>
      <c r="B43" s="27">
        <v>9</v>
      </c>
      <c r="C43" t="s">
        <v>20</v>
      </c>
      <c r="D43">
        <v>320000</v>
      </c>
      <c r="E43">
        <v>322000</v>
      </c>
      <c r="F43" s="2">
        <f>Table2[[#This Row],[Actual]]-Table2[[#This Row],[Budget]]</f>
        <v>2000</v>
      </c>
      <c r="G43" s="4">
        <f>Table2[[#This Row],[Variance ₹]]/Table2[[#This Row],[Budget]]</f>
        <v>6.2500000000000003E-3</v>
      </c>
      <c r="H43" t="s">
        <v>23</v>
      </c>
      <c r="I43" s="5" t="str">
        <f t="shared" si="0"/>
        <v>Unfavorable</v>
      </c>
    </row>
    <row r="44" spans="1:9" x14ac:dyDescent="0.3">
      <c r="A44" s="9" t="s">
        <v>14</v>
      </c>
      <c r="B44" s="27">
        <v>9</v>
      </c>
      <c r="C44" t="s">
        <v>21</v>
      </c>
      <c r="D44">
        <v>115000</v>
      </c>
      <c r="E44">
        <v>118000</v>
      </c>
      <c r="F44" s="2">
        <f>Table2[[#This Row],[Actual]]-Table2[[#This Row],[Budget]]</f>
        <v>3000</v>
      </c>
      <c r="G44" s="4">
        <f>Table2[[#This Row],[Variance ₹]]/Table2[[#This Row],[Budget]]</f>
        <v>2.6086956521739129E-2</v>
      </c>
      <c r="H44" t="s">
        <v>23</v>
      </c>
      <c r="I44" s="5" t="str">
        <f t="shared" si="0"/>
        <v>Unfavorable</v>
      </c>
    </row>
    <row r="45" spans="1:9" x14ac:dyDescent="0.3">
      <c r="A45" s="9" t="s">
        <v>14</v>
      </c>
      <c r="B45" s="27">
        <v>9</v>
      </c>
      <c r="C45" t="s">
        <v>22</v>
      </c>
      <c r="D45">
        <v>55000</v>
      </c>
      <c r="E45">
        <v>57000</v>
      </c>
      <c r="F45" s="2">
        <f>Table2[[#This Row],[Actual]]-Table2[[#This Row],[Budget]]</f>
        <v>2000</v>
      </c>
      <c r="G45" s="4">
        <f>Table2[[#This Row],[Variance ₹]]/Table2[[#This Row],[Budget]]</f>
        <v>3.6363636363636362E-2</v>
      </c>
      <c r="H45" t="s">
        <v>23</v>
      </c>
      <c r="I45" s="5" t="str">
        <f t="shared" si="0"/>
        <v>Unfavorable</v>
      </c>
    </row>
    <row r="46" spans="1:9" x14ac:dyDescent="0.3">
      <c r="A46" s="9" t="s">
        <v>14</v>
      </c>
      <c r="B46" s="27">
        <v>9</v>
      </c>
      <c r="C46" t="s">
        <v>8</v>
      </c>
      <c r="D46">
        <v>46000</v>
      </c>
      <c r="E46">
        <v>48000</v>
      </c>
      <c r="F46" s="2">
        <f>Table2[[#This Row],[Actual]]-Table2[[#This Row],[Budget]]</f>
        <v>2000</v>
      </c>
      <c r="G46" s="4">
        <f>Table2[[#This Row],[Variance ₹]]/Table2[[#This Row],[Budget]]</f>
        <v>4.3478260869565216E-2</v>
      </c>
      <c r="H46" t="s">
        <v>23</v>
      </c>
      <c r="I46" s="5" t="str">
        <f t="shared" si="0"/>
        <v>Unfavorable</v>
      </c>
    </row>
    <row r="47" spans="1:9" x14ac:dyDescent="0.3">
      <c r="A47" s="9" t="s">
        <v>15</v>
      </c>
      <c r="B47" s="27">
        <v>10</v>
      </c>
      <c r="C47" t="s">
        <v>19</v>
      </c>
      <c r="D47">
        <v>1450000</v>
      </c>
      <c r="E47">
        <v>1480000</v>
      </c>
      <c r="F47" s="2">
        <f>Table2[[#This Row],[Actual]]-Table2[[#This Row],[Budget]]</f>
        <v>30000</v>
      </c>
      <c r="G47" s="4">
        <f>Table2[[#This Row],[Variance ₹]]/Table2[[#This Row],[Budget]]</f>
        <v>2.0689655172413793E-2</v>
      </c>
      <c r="H47" t="s">
        <v>19</v>
      </c>
      <c r="I47" s="5" t="str">
        <f t="shared" si="0"/>
        <v>Favorable</v>
      </c>
    </row>
    <row r="48" spans="1:9" x14ac:dyDescent="0.3">
      <c r="A48" s="9" t="s">
        <v>15</v>
      </c>
      <c r="B48" s="27">
        <v>10</v>
      </c>
      <c r="C48" t="s">
        <v>20</v>
      </c>
      <c r="D48">
        <v>320000</v>
      </c>
      <c r="E48">
        <v>325000</v>
      </c>
      <c r="F48" s="2">
        <f>Table2[[#This Row],[Actual]]-Table2[[#This Row],[Budget]]</f>
        <v>5000</v>
      </c>
      <c r="G48" s="4">
        <f>Table2[[#This Row],[Variance ₹]]/Table2[[#This Row],[Budget]]</f>
        <v>1.5625E-2</v>
      </c>
      <c r="H48" t="s">
        <v>23</v>
      </c>
      <c r="I48" s="5" t="str">
        <f t="shared" si="0"/>
        <v>Unfavorable</v>
      </c>
    </row>
    <row r="49" spans="1:9" x14ac:dyDescent="0.3">
      <c r="A49" s="9" t="s">
        <v>15</v>
      </c>
      <c r="B49" s="27">
        <v>10</v>
      </c>
      <c r="C49" t="s">
        <v>21</v>
      </c>
      <c r="D49">
        <v>120000</v>
      </c>
      <c r="E49">
        <v>115000</v>
      </c>
      <c r="F49" s="2">
        <f>Table2[[#This Row],[Actual]]-Table2[[#This Row],[Budget]]</f>
        <v>-5000</v>
      </c>
      <c r="G49" s="4">
        <f>Table2[[#This Row],[Variance ₹]]/Table2[[#This Row],[Budget]]</f>
        <v>-4.1666666666666664E-2</v>
      </c>
      <c r="H49" t="s">
        <v>23</v>
      </c>
      <c r="I49" s="5" t="str">
        <f t="shared" si="0"/>
        <v>Favorable</v>
      </c>
    </row>
    <row r="50" spans="1:9" x14ac:dyDescent="0.3">
      <c r="A50" s="9" t="s">
        <v>15</v>
      </c>
      <c r="B50" s="27">
        <v>10</v>
      </c>
      <c r="C50" t="s">
        <v>22</v>
      </c>
      <c r="D50">
        <v>56000</v>
      </c>
      <c r="E50">
        <v>58000</v>
      </c>
      <c r="F50" s="2">
        <f>Table2[[#This Row],[Actual]]-Table2[[#This Row],[Budget]]</f>
        <v>2000</v>
      </c>
      <c r="G50" s="4">
        <f>Table2[[#This Row],[Variance ₹]]/Table2[[#This Row],[Budget]]</f>
        <v>3.5714285714285712E-2</v>
      </c>
      <c r="H50" t="s">
        <v>23</v>
      </c>
      <c r="I50" s="5" t="str">
        <f t="shared" si="0"/>
        <v>Unfavorable</v>
      </c>
    </row>
    <row r="51" spans="1:9" x14ac:dyDescent="0.3">
      <c r="A51" s="9" t="s">
        <v>15</v>
      </c>
      <c r="B51" s="27">
        <v>10</v>
      </c>
      <c r="C51" t="s">
        <v>8</v>
      </c>
      <c r="D51">
        <v>46000</v>
      </c>
      <c r="E51">
        <v>47000</v>
      </c>
      <c r="F51" s="2">
        <f>Table2[[#This Row],[Actual]]-Table2[[#This Row],[Budget]]</f>
        <v>1000</v>
      </c>
      <c r="G51" s="4">
        <f>Table2[[#This Row],[Variance ₹]]/Table2[[#This Row],[Budget]]</f>
        <v>2.1739130434782608E-2</v>
      </c>
      <c r="H51" t="s">
        <v>23</v>
      </c>
      <c r="I51" s="5" t="str">
        <f t="shared" si="0"/>
        <v>Unfavorable</v>
      </c>
    </row>
    <row r="52" spans="1:9" x14ac:dyDescent="0.3">
      <c r="A52" s="9" t="s">
        <v>16</v>
      </c>
      <c r="B52" s="27">
        <v>11</v>
      </c>
      <c r="C52" t="s">
        <v>19</v>
      </c>
      <c r="D52">
        <v>1500000</v>
      </c>
      <c r="E52">
        <v>1520000</v>
      </c>
      <c r="F52" s="2">
        <f>Table2[[#This Row],[Actual]]-Table2[[#This Row],[Budget]]</f>
        <v>20000</v>
      </c>
      <c r="G52" s="4">
        <f>Table2[[#This Row],[Variance ₹]]/Table2[[#This Row],[Budget]]</f>
        <v>1.3333333333333334E-2</v>
      </c>
      <c r="H52" t="s">
        <v>19</v>
      </c>
      <c r="I52" s="5" t="str">
        <f t="shared" si="0"/>
        <v>Favorable</v>
      </c>
    </row>
    <row r="53" spans="1:9" x14ac:dyDescent="0.3">
      <c r="A53" s="9" t="s">
        <v>16</v>
      </c>
      <c r="B53" s="27">
        <v>11</v>
      </c>
      <c r="C53" t="s">
        <v>20</v>
      </c>
      <c r="D53">
        <v>325000</v>
      </c>
      <c r="E53">
        <v>328000</v>
      </c>
      <c r="F53" s="2">
        <f>Table2[[#This Row],[Actual]]-Table2[[#This Row],[Budget]]</f>
        <v>3000</v>
      </c>
      <c r="G53" s="4">
        <f>Table2[[#This Row],[Variance ₹]]/Table2[[#This Row],[Budget]]</f>
        <v>9.2307692307692316E-3</v>
      </c>
      <c r="H53" t="s">
        <v>23</v>
      </c>
      <c r="I53" s="5" t="str">
        <f t="shared" si="0"/>
        <v>Unfavorable</v>
      </c>
    </row>
    <row r="54" spans="1:9" x14ac:dyDescent="0.3">
      <c r="A54" s="9" t="s">
        <v>16</v>
      </c>
      <c r="B54" s="27">
        <v>11</v>
      </c>
      <c r="C54" t="s">
        <v>21</v>
      </c>
      <c r="D54">
        <v>125000</v>
      </c>
      <c r="E54">
        <v>130000</v>
      </c>
      <c r="F54" s="2">
        <f>Table2[[#This Row],[Actual]]-Table2[[#This Row],[Budget]]</f>
        <v>5000</v>
      </c>
      <c r="G54" s="4">
        <f>Table2[[#This Row],[Variance ₹]]/Table2[[#This Row],[Budget]]</f>
        <v>0.04</v>
      </c>
      <c r="H54" t="s">
        <v>23</v>
      </c>
      <c r="I54" s="5" t="str">
        <f t="shared" si="0"/>
        <v>Unfavorable</v>
      </c>
    </row>
    <row r="55" spans="1:9" x14ac:dyDescent="0.3">
      <c r="A55" s="9" t="s">
        <v>16</v>
      </c>
      <c r="B55" s="27">
        <v>11</v>
      </c>
      <c r="C55" t="s">
        <v>22</v>
      </c>
      <c r="D55">
        <v>56000</v>
      </c>
      <c r="E55">
        <v>55000</v>
      </c>
      <c r="F55" s="2">
        <f>Table2[[#This Row],[Actual]]-Table2[[#This Row],[Budget]]</f>
        <v>-1000</v>
      </c>
      <c r="G55" s="4">
        <f>Table2[[#This Row],[Variance ₹]]/Table2[[#This Row],[Budget]]</f>
        <v>-1.7857142857142856E-2</v>
      </c>
      <c r="H55" t="s">
        <v>23</v>
      </c>
      <c r="I55" s="5" t="str">
        <f t="shared" si="0"/>
        <v>Favorable</v>
      </c>
    </row>
    <row r="56" spans="1:9" x14ac:dyDescent="0.3">
      <c r="A56" s="9" t="s">
        <v>16</v>
      </c>
      <c r="B56" s="27">
        <v>11</v>
      </c>
      <c r="C56" t="s">
        <v>8</v>
      </c>
      <c r="D56">
        <v>47000</v>
      </c>
      <c r="E56">
        <v>49000</v>
      </c>
      <c r="F56" s="2">
        <f>Table2[[#This Row],[Actual]]-Table2[[#This Row],[Budget]]</f>
        <v>2000</v>
      </c>
      <c r="G56" s="4">
        <f>Table2[[#This Row],[Variance ₹]]/Table2[[#This Row],[Budget]]</f>
        <v>4.2553191489361701E-2</v>
      </c>
      <c r="H56" t="s">
        <v>23</v>
      </c>
      <c r="I56" s="5" t="str">
        <f t="shared" si="0"/>
        <v>Unfavorable</v>
      </c>
    </row>
    <row r="57" spans="1:9" x14ac:dyDescent="0.3">
      <c r="A57" s="9" t="s">
        <v>17</v>
      </c>
      <c r="B57" s="27">
        <v>12</v>
      </c>
      <c r="C57" t="s">
        <v>19</v>
      </c>
      <c r="D57">
        <v>1550000</v>
      </c>
      <c r="E57">
        <v>1510000</v>
      </c>
      <c r="F57" s="2">
        <f>Table2[[#This Row],[Actual]]-Table2[[#This Row],[Budget]]</f>
        <v>-40000</v>
      </c>
      <c r="G57" s="4">
        <f>Table2[[#This Row],[Variance ₹]]/Table2[[#This Row],[Budget]]</f>
        <v>-2.5806451612903226E-2</v>
      </c>
      <c r="H57" t="s">
        <v>19</v>
      </c>
      <c r="I57" s="5" t="str">
        <f t="shared" si="0"/>
        <v>Unfavorable</v>
      </c>
    </row>
    <row r="58" spans="1:9" x14ac:dyDescent="0.3">
      <c r="A58" s="9" t="s">
        <v>17</v>
      </c>
      <c r="B58" s="27">
        <v>12</v>
      </c>
      <c r="C58" t="s">
        <v>20</v>
      </c>
      <c r="D58">
        <v>325000</v>
      </c>
      <c r="E58">
        <v>326000</v>
      </c>
      <c r="F58" s="2">
        <f>Table2[[#This Row],[Actual]]-Table2[[#This Row],[Budget]]</f>
        <v>1000</v>
      </c>
      <c r="G58" s="4">
        <f>Table2[[#This Row],[Variance ₹]]/Table2[[#This Row],[Budget]]</f>
        <v>3.0769230769230769E-3</v>
      </c>
      <c r="H58" t="s">
        <v>23</v>
      </c>
      <c r="I58" s="5" t="str">
        <f t="shared" si="0"/>
        <v>Unfavorable</v>
      </c>
    </row>
    <row r="59" spans="1:9" x14ac:dyDescent="0.3">
      <c r="A59" s="9" t="s">
        <v>17</v>
      </c>
      <c r="B59" s="27">
        <v>12</v>
      </c>
      <c r="C59" t="s">
        <v>21</v>
      </c>
      <c r="D59">
        <v>130000</v>
      </c>
      <c r="E59">
        <v>135000</v>
      </c>
      <c r="F59" s="2">
        <f>Table2[[#This Row],[Actual]]-Table2[[#This Row],[Budget]]</f>
        <v>5000</v>
      </c>
      <c r="G59" s="4">
        <f>Table2[[#This Row],[Variance ₹]]/Table2[[#This Row],[Budget]]</f>
        <v>3.8461538461538464E-2</v>
      </c>
      <c r="H59" t="s">
        <v>23</v>
      </c>
      <c r="I59" s="5" t="str">
        <f t="shared" si="0"/>
        <v>Unfavorable</v>
      </c>
    </row>
    <row r="60" spans="1:9" x14ac:dyDescent="0.3">
      <c r="A60" s="9" t="s">
        <v>17</v>
      </c>
      <c r="B60" s="27">
        <v>12</v>
      </c>
      <c r="C60" t="s">
        <v>22</v>
      </c>
      <c r="D60">
        <v>57000</v>
      </c>
      <c r="E60">
        <v>60000</v>
      </c>
      <c r="F60" s="2">
        <f>Table2[[#This Row],[Actual]]-Table2[[#This Row],[Budget]]</f>
        <v>3000</v>
      </c>
      <c r="G60" s="4">
        <f>Table2[[#This Row],[Variance ₹]]/Table2[[#This Row],[Budget]]</f>
        <v>5.2631578947368418E-2</v>
      </c>
      <c r="H60" t="s">
        <v>23</v>
      </c>
      <c r="I60" s="5" t="str">
        <f t="shared" si="0"/>
        <v>Unfavorable</v>
      </c>
    </row>
    <row r="61" spans="1:9" x14ac:dyDescent="0.3">
      <c r="A61" s="9" t="s">
        <v>17</v>
      </c>
      <c r="B61" s="27">
        <v>12</v>
      </c>
      <c r="C61" t="s">
        <v>8</v>
      </c>
      <c r="D61">
        <v>48000</v>
      </c>
      <c r="E61">
        <v>50000</v>
      </c>
      <c r="F61" s="2">
        <f>Table2[[#This Row],[Actual]]-Table2[[#This Row],[Budget]]</f>
        <v>2000</v>
      </c>
      <c r="G61" s="4">
        <f>Table2[[#This Row],[Variance ₹]]/Table2[[#This Row],[Budget]]</f>
        <v>4.1666666666666664E-2</v>
      </c>
      <c r="H61" t="s">
        <v>23</v>
      </c>
      <c r="I61" s="5" t="str">
        <f t="shared" si="0"/>
        <v>Unfavorable</v>
      </c>
    </row>
  </sheetData>
  <phoneticPr fontId="3" type="noConversion"/>
  <conditionalFormatting sqref="I2:I61">
    <cfRule type="cellIs" dxfId="40" priority="1" operator="equal">
      <formula>$I$4</formula>
    </cfRule>
    <cfRule type="cellIs" dxfId="39" priority="2" operator="equal">
      <formula>$I$2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C9F47-6AC2-4A47-A6B8-A3447272504D}">
  <dimension ref="A2:M15"/>
  <sheetViews>
    <sheetView workbookViewId="0">
      <selection activeCell="B5" sqref="B5"/>
    </sheetView>
  </sheetViews>
  <sheetFormatPr defaultRowHeight="14.4" x14ac:dyDescent="0.3"/>
  <cols>
    <col min="1" max="1" width="20.44140625" bestFit="1" customWidth="1"/>
    <col min="2" max="2" width="12.109375" customWidth="1"/>
    <col min="4" max="4" width="11.6640625" customWidth="1"/>
    <col min="5" max="5" width="12.5546875" customWidth="1"/>
    <col min="6" max="6" width="11.109375" bestFit="1" customWidth="1"/>
  </cols>
  <sheetData>
    <row r="2" spans="1:13" x14ac:dyDescent="0.3">
      <c r="A2" s="26" t="s">
        <v>25</v>
      </c>
      <c r="B2" s="26">
        <f>SUMIFS(Table2[Variance ₹],Table2[Type],"Revenue")</f>
        <v>-120000</v>
      </c>
    </row>
    <row r="3" spans="1:13" x14ac:dyDescent="0.3">
      <c r="A3" s="26" t="s">
        <v>26</v>
      </c>
      <c r="B3" s="26">
        <f>SUMIFS(Table2[Variance ₹],Table2[Type],"Cost")</f>
        <v>91000</v>
      </c>
    </row>
    <row r="4" spans="1:13" x14ac:dyDescent="0.3">
      <c r="A4" s="26" t="s">
        <v>27</v>
      </c>
      <c r="B4" s="26">
        <f>B2-B3</f>
        <v>-211000</v>
      </c>
    </row>
    <row r="6" spans="1:13" x14ac:dyDescent="0.3">
      <c r="A6" s="26" t="s">
        <v>28</v>
      </c>
      <c r="B6" s="26">
        <f>COUNTIF(Table2[Result],"Favorable")</f>
        <v>18</v>
      </c>
    </row>
    <row r="7" spans="1:13" x14ac:dyDescent="0.3">
      <c r="A7" s="26" t="s">
        <v>29</v>
      </c>
      <c r="B7" s="26">
        <f>COUNTIF(Table2[Result],"Unfavorable")</f>
        <v>42</v>
      </c>
    </row>
    <row r="10" spans="1:13" x14ac:dyDescent="0.3">
      <c r="A10" t="s">
        <v>5</v>
      </c>
      <c r="B10" t="s">
        <v>1</v>
      </c>
      <c r="C10" t="s">
        <v>2</v>
      </c>
      <c r="D10" t="s">
        <v>3</v>
      </c>
      <c r="E10" t="s">
        <v>30</v>
      </c>
      <c r="F10" t="s">
        <v>24</v>
      </c>
      <c r="M10" s="4"/>
    </row>
    <row r="11" spans="1:13" x14ac:dyDescent="0.3">
      <c r="A11" t="s">
        <v>19</v>
      </c>
      <c r="B11">
        <f>SUMIFS(Table2[Budget],Table2[Category],"Revenue")</f>
        <v>15300000</v>
      </c>
      <c r="C11">
        <f>SUMIFS(Table2[Actual],Table2[Category],"Revenue")</f>
        <v>15180000</v>
      </c>
      <c r="D11">
        <f>Table35[[#This Row],[Actual]]-Table35[[#This Row],[Budget]]</f>
        <v>-120000</v>
      </c>
      <c r="E11" s="4">
        <f>Table35[[#This Row],[Variance ₹]]/Table35[[#This Row],[Budget]]</f>
        <v>-7.8431372549019607E-3</v>
      </c>
      <c r="F11" t="str">
        <f>IF(Table35[[#This Row],[Category]]="Revenue",IF(Table35[[#This Row],[Variance ₹]]&gt;=0,"Favorable","Unfavorable"),IF(Table35[[#This Row],[Variance ₹]]&lt;=0,"Favorable","Unfavorable"))</f>
        <v>Unfavorable</v>
      </c>
      <c r="M11" s="4"/>
    </row>
    <row r="12" spans="1:13" x14ac:dyDescent="0.3">
      <c r="A12" t="s">
        <v>20</v>
      </c>
      <c r="B12">
        <f>SUMIFS(Table2[Budget],Table2[Category],"Salary")</f>
        <v>3750000</v>
      </c>
      <c r="C12">
        <f>SUMIFS(Table2[Actual],Table2[Category],"Salary")</f>
        <v>3794000</v>
      </c>
      <c r="D12">
        <f>Table35[[#This Row],[Actual]]-Table35[[#This Row],[Budget]]</f>
        <v>44000</v>
      </c>
      <c r="E12" s="4">
        <f>Table35[[#This Row],[Variance ₹]]/Table35[[#This Row],[Budget]]</f>
        <v>1.1733333333333333E-2</v>
      </c>
      <c r="F12" t="str">
        <f>IF(Table35[[#This Row],[Category]]="Revenue",IF(Table35[[#This Row],[Variance ₹]]&gt;=0,"Favorable","Unfavorable"),IF(Table35[[#This Row],[Variance ₹]]&lt;=0,"Favorable","Unfavorable"))</f>
        <v>Unfavorable</v>
      </c>
      <c r="M12" s="4"/>
    </row>
    <row r="13" spans="1:13" x14ac:dyDescent="0.3">
      <c r="A13" t="s">
        <v>21</v>
      </c>
      <c r="B13">
        <f>SUMIFS(Table2[Budget],Table2[Category],"Marketing")</f>
        <v>1270000</v>
      </c>
      <c r="C13">
        <f>SUMIFS(Table2[Actual],Table2[Category],"Marketing")</f>
        <v>1288000</v>
      </c>
      <c r="D13">
        <f>Table35[[#This Row],[Actual]]-Table35[[#This Row],[Budget]]</f>
        <v>18000</v>
      </c>
      <c r="E13" s="4">
        <f>Table35[[#This Row],[Variance ₹]]/Table35[[#This Row],[Budget]]</f>
        <v>1.4173228346456693E-2</v>
      </c>
      <c r="F13" t="str">
        <f>IF(Table35[[#This Row],[Category]]="Revenue",IF(Table35[[#This Row],[Variance ₹]]&gt;=0,"Favorable","Unfavorable"),IF(Table35[[#This Row],[Variance ₹]]&lt;=0,"Favorable","Unfavorable"))</f>
        <v>Unfavorable</v>
      </c>
      <c r="M13" s="4"/>
    </row>
    <row r="14" spans="1:13" x14ac:dyDescent="0.3">
      <c r="A14" t="s">
        <v>22</v>
      </c>
      <c r="B14">
        <f>SUMIFS(Table2[Budget],Table2[Category],"IT Expense")</f>
        <v>643000</v>
      </c>
      <c r="C14">
        <f>SUMIFS(Table2[Actual],Table2[Category],"IT Expense")</f>
        <v>658000</v>
      </c>
      <c r="D14">
        <f>Table35[[#This Row],[Actual]]-Table35[[#This Row],[Budget]]</f>
        <v>15000</v>
      </c>
      <c r="E14" s="4">
        <f>Table35[[#This Row],[Variance ₹]]/Table35[[#This Row],[Budget]]</f>
        <v>2.3328149300155521E-2</v>
      </c>
      <c r="F14" t="str">
        <f>IF(Table35[[#This Row],[Category]]="Revenue",IF(Table35[[#This Row],[Variance ₹]]&gt;=0,"Favorable","Unfavorable"),IF(Table35[[#This Row],[Variance ₹]]&lt;=0,"Favorable","Unfavorable"))</f>
        <v>Unfavorable</v>
      </c>
      <c r="M14" s="4"/>
    </row>
    <row r="15" spans="1:13" x14ac:dyDescent="0.3">
      <c r="A15" t="s">
        <v>8</v>
      </c>
      <c r="B15">
        <f>SUMIFS(Table2[Budget],Table2[Category],"Admin Expense")</f>
        <v>531000</v>
      </c>
      <c r="C15">
        <f>SUMIFS(Table2[Actual],Table2[Category],"Admin Expense")</f>
        <v>545000</v>
      </c>
      <c r="D15">
        <f>Table35[[#This Row],[Actual]]-Table35[[#This Row],[Budget]]</f>
        <v>14000</v>
      </c>
      <c r="E15" s="4">
        <f>Table35[[#This Row],[Variance ₹]]/Table35[[#This Row],[Budget]]</f>
        <v>2.6365348399246705E-2</v>
      </c>
      <c r="F15" t="str">
        <f>IF(Table35[[#This Row],[Category]]="Revenue",IF(Table35[[#This Row],[Variance ₹]]&gt;=0,"Favorable","Unfavorable"),IF(Table35[[#This Row],[Variance ₹]]&lt;=0,"Favorable","Unfavorable"))</f>
        <v>Unfavorable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D9DCA-386A-41D8-9342-9FEFA1BFC983}">
  <dimension ref="A3:C18"/>
  <sheetViews>
    <sheetView workbookViewId="0">
      <selection activeCell="I14" sqref="I14"/>
    </sheetView>
  </sheetViews>
  <sheetFormatPr defaultRowHeight="14.4" x14ac:dyDescent="0.3"/>
  <cols>
    <col min="1" max="1" width="13.33203125" bestFit="1" customWidth="1"/>
    <col min="2" max="2" width="16.33203125" bestFit="1" customWidth="1"/>
    <col min="3" max="3" width="13.88671875" bestFit="1" customWidth="1"/>
    <col min="4" max="4" width="16.33203125" bestFit="1" customWidth="1"/>
  </cols>
  <sheetData>
    <row r="3" spans="1:3" x14ac:dyDescent="0.3">
      <c r="A3" s="6" t="s">
        <v>31</v>
      </c>
      <c r="B3" s="8" t="s">
        <v>33</v>
      </c>
      <c r="C3" t="s">
        <v>34</v>
      </c>
    </row>
    <row r="4" spans="1:3" x14ac:dyDescent="0.3">
      <c r="A4" s="7" t="s">
        <v>19</v>
      </c>
      <c r="B4" s="8">
        <v>15300000</v>
      </c>
      <c r="C4" s="8">
        <v>15180000</v>
      </c>
    </row>
    <row r="5" spans="1:3" x14ac:dyDescent="0.3">
      <c r="A5" s="7" t="s">
        <v>20</v>
      </c>
      <c r="B5" s="8">
        <v>3750000</v>
      </c>
      <c r="C5" s="8">
        <v>3794000</v>
      </c>
    </row>
    <row r="6" spans="1:3" x14ac:dyDescent="0.3">
      <c r="A6" s="7" t="s">
        <v>21</v>
      </c>
      <c r="B6" s="8">
        <v>1270000</v>
      </c>
      <c r="C6" s="8">
        <v>1288000</v>
      </c>
    </row>
    <row r="7" spans="1:3" x14ac:dyDescent="0.3">
      <c r="A7" s="7" t="s">
        <v>22</v>
      </c>
      <c r="B7" s="8">
        <v>643000</v>
      </c>
      <c r="C7" s="8">
        <v>658000</v>
      </c>
    </row>
    <row r="8" spans="1:3" x14ac:dyDescent="0.3">
      <c r="A8" s="7" t="s">
        <v>8</v>
      </c>
      <c r="B8" s="8">
        <v>531000</v>
      </c>
      <c r="C8" s="8">
        <v>545000</v>
      </c>
    </row>
    <row r="9" spans="1:3" x14ac:dyDescent="0.3">
      <c r="A9" s="7" t="s">
        <v>32</v>
      </c>
      <c r="B9" s="8">
        <v>21494000</v>
      </c>
      <c r="C9" s="33">
        <v>21465000</v>
      </c>
    </row>
    <row r="12" spans="1:3" x14ac:dyDescent="0.3">
      <c r="A12" s="6" t="s">
        <v>31</v>
      </c>
      <c r="B12" t="s">
        <v>35</v>
      </c>
    </row>
    <row r="13" spans="1:3" x14ac:dyDescent="0.3">
      <c r="A13" s="7" t="s">
        <v>19</v>
      </c>
      <c r="B13" s="8">
        <v>-120000</v>
      </c>
    </row>
    <row r="14" spans="1:3" x14ac:dyDescent="0.3">
      <c r="A14" s="7" t="s">
        <v>20</v>
      </c>
      <c r="B14" s="8">
        <v>44000</v>
      </c>
    </row>
    <row r="15" spans="1:3" x14ac:dyDescent="0.3">
      <c r="A15" s="7" t="s">
        <v>21</v>
      </c>
      <c r="B15" s="8">
        <v>18000</v>
      </c>
    </row>
    <row r="16" spans="1:3" x14ac:dyDescent="0.3">
      <c r="A16" s="7" t="s">
        <v>22</v>
      </c>
      <c r="B16" s="8">
        <v>15000</v>
      </c>
    </row>
    <row r="17" spans="1:2" x14ac:dyDescent="0.3">
      <c r="A17" s="7" t="s">
        <v>8</v>
      </c>
      <c r="B17" s="8">
        <v>14000</v>
      </c>
    </row>
    <row r="18" spans="1:2" x14ac:dyDescent="0.3">
      <c r="A18" s="7" t="s">
        <v>32</v>
      </c>
      <c r="B18" s="2">
        <v>-29000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B7CAE-6B04-4EA9-B2E0-14CF89602756}">
  <dimension ref="A3:D17"/>
  <sheetViews>
    <sheetView workbookViewId="0">
      <selection activeCell="H14" sqref="H14"/>
    </sheetView>
  </sheetViews>
  <sheetFormatPr defaultRowHeight="14.4" x14ac:dyDescent="0.3"/>
  <cols>
    <col min="1" max="1" width="16.33203125" bestFit="1" customWidth="1"/>
    <col min="2" max="2" width="15.5546875" bestFit="1" customWidth="1"/>
    <col min="3" max="3" width="8.77734375" bestFit="1" customWidth="1"/>
    <col min="4" max="4" width="10.77734375" bestFit="1" customWidth="1"/>
  </cols>
  <sheetData>
    <row r="3" spans="1:4" x14ac:dyDescent="0.3">
      <c r="A3" s="6" t="s">
        <v>35</v>
      </c>
      <c r="B3" s="6" t="s">
        <v>36</v>
      </c>
    </row>
    <row r="4" spans="1:4" x14ac:dyDescent="0.3">
      <c r="A4" s="6" t="s">
        <v>31</v>
      </c>
      <c r="B4" t="s">
        <v>23</v>
      </c>
      <c r="C4" t="s">
        <v>19</v>
      </c>
      <c r="D4" t="s">
        <v>32</v>
      </c>
    </row>
    <row r="5" spans="1:4" x14ac:dyDescent="0.3">
      <c r="A5" s="7" t="s">
        <v>18</v>
      </c>
      <c r="B5" s="2">
        <v>17000</v>
      </c>
      <c r="C5" s="2">
        <v>-50000</v>
      </c>
      <c r="D5" s="2">
        <v>-33000</v>
      </c>
    </row>
    <row r="6" spans="1:4" x14ac:dyDescent="0.3">
      <c r="A6" s="7" t="s">
        <v>42</v>
      </c>
      <c r="B6" s="2">
        <v>2000</v>
      </c>
      <c r="C6" s="2">
        <v>-30000</v>
      </c>
      <c r="D6" s="2">
        <v>-28000</v>
      </c>
    </row>
    <row r="7" spans="1:4" x14ac:dyDescent="0.3">
      <c r="A7" s="7" t="s">
        <v>9</v>
      </c>
      <c r="B7" s="2">
        <v>9000</v>
      </c>
      <c r="C7" s="2">
        <v>30000</v>
      </c>
      <c r="D7" s="2">
        <v>39000</v>
      </c>
    </row>
    <row r="8" spans="1:4" x14ac:dyDescent="0.3">
      <c r="A8" s="7" t="s">
        <v>10</v>
      </c>
      <c r="B8" s="2">
        <v>7000</v>
      </c>
      <c r="C8" s="2">
        <v>-40000</v>
      </c>
      <c r="D8" s="2">
        <v>-33000</v>
      </c>
    </row>
    <row r="9" spans="1:4" x14ac:dyDescent="0.3">
      <c r="A9" s="7" t="s">
        <v>7</v>
      </c>
      <c r="B9" s="2">
        <v>6000</v>
      </c>
      <c r="C9" s="2">
        <v>40000</v>
      </c>
      <c r="D9" s="2">
        <v>46000</v>
      </c>
    </row>
    <row r="10" spans="1:4" x14ac:dyDescent="0.3">
      <c r="A10" s="7" t="s">
        <v>11</v>
      </c>
      <c r="B10" s="2">
        <v>12000</v>
      </c>
      <c r="C10" s="2">
        <v>-40000</v>
      </c>
      <c r="D10" s="2">
        <v>-28000</v>
      </c>
    </row>
    <row r="11" spans="1:4" x14ac:dyDescent="0.3">
      <c r="A11" s="7" t="s">
        <v>12</v>
      </c>
      <c r="B11" s="2">
        <v>1000</v>
      </c>
      <c r="C11" s="2">
        <v>-20000</v>
      </c>
      <c r="D11" s="2">
        <v>-19000</v>
      </c>
    </row>
    <row r="12" spans="1:4" x14ac:dyDescent="0.3">
      <c r="A12" s="7" t="s">
        <v>13</v>
      </c>
      <c r="B12" s="2">
        <v>5000</v>
      </c>
      <c r="C12" s="2">
        <v>20000</v>
      </c>
      <c r="D12" s="2">
        <v>25000</v>
      </c>
    </row>
    <row r="13" spans="1:4" x14ac:dyDescent="0.3">
      <c r="A13" s="7" t="s">
        <v>14</v>
      </c>
      <c r="B13" s="2">
        <v>9000</v>
      </c>
      <c r="C13" s="2">
        <v>-40000</v>
      </c>
      <c r="D13" s="2">
        <v>-31000</v>
      </c>
    </row>
    <row r="14" spans="1:4" x14ac:dyDescent="0.3">
      <c r="A14" s="7" t="s">
        <v>15</v>
      </c>
      <c r="B14" s="2">
        <v>3000</v>
      </c>
      <c r="C14" s="2">
        <v>30000</v>
      </c>
      <c r="D14" s="2">
        <v>33000</v>
      </c>
    </row>
    <row r="15" spans="1:4" x14ac:dyDescent="0.3">
      <c r="A15" s="7" t="s">
        <v>16</v>
      </c>
      <c r="B15" s="2">
        <v>9000</v>
      </c>
      <c r="C15" s="2">
        <v>20000</v>
      </c>
      <c r="D15" s="2">
        <v>29000</v>
      </c>
    </row>
    <row r="16" spans="1:4" x14ac:dyDescent="0.3">
      <c r="A16" s="7" t="s">
        <v>17</v>
      </c>
      <c r="B16" s="2">
        <v>11000</v>
      </c>
      <c r="C16" s="2">
        <v>-40000</v>
      </c>
      <c r="D16" s="2">
        <v>-29000</v>
      </c>
    </row>
    <row r="17" spans="1:4" x14ac:dyDescent="0.3">
      <c r="A17" s="7" t="s">
        <v>32</v>
      </c>
      <c r="B17" s="2">
        <v>91000</v>
      </c>
      <c r="C17" s="2">
        <v>-120000</v>
      </c>
      <c r="D17" s="2">
        <v>-29000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B24C-192E-461B-BF6A-38FB391E2457}">
  <dimension ref="A3:D10"/>
  <sheetViews>
    <sheetView workbookViewId="0">
      <selection activeCell="C14" sqref="C14"/>
    </sheetView>
  </sheetViews>
  <sheetFormatPr defaultRowHeight="14.4" x14ac:dyDescent="0.3"/>
  <cols>
    <col min="1" max="1" width="14" bestFit="1" customWidth="1"/>
    <col min="2" max="2" width="15.5546875" bestFit="1" customWidth="1"/>
    <col min="3" max="3" width="11.44140625" bestFit="1" customWidth="1"/>
    <col min="4" max="4" width="10.77734375" bestFit="1" customWidth="1"/>
  </cols>
  <sheetData>
    <row r="3" spans="1:4" x14ac:dyDescent="0.3">
      <c r="A3" s="6" t="s">
        <v>39</v>
      </c>
      <c r="B3" s="6" t="s">
        <v>36</v>
      </c>
    </row>
    <row r="4" spans="1:4" x14ac:dyDescent="0.3">
      <c r="A4" s="6" t="s">
        <v>31</v>
      </c>
      <c r="B4" t="s">
        <v>37</v>
      </c>
      <c r="C4" t="s">
        <v>38</v>
      </c>
      <c r="D4" t="s">
        <v>32</v>
      </c>
    </row>
    <row r="5" spans="1:4" x14ac:dyDescent="0.3">
      <c r="A5" s="7" t="s">
        <v>19</v>
      </c>
      <c r="B5" s="33">
        <v>5</v>
      </c>
      <c r="C5" s="33">
        <v>7</v>
      </c>
      <c r="D5" s="33">
        <v>12</v>
      </c>
    </row>
    <row r="6" spans="1:4" x14ac:dyDescent="0.3">
      <c r="A6" s="7" t="s">
        <v>20</v>
      </c>
      <c r="B6" s="33">
        <v>3</v>
      </c>
      <c r="C6" s="33">
        <v>9</v>
      </c>
      <c r="D6" s="33">
        <v>12</v>
      </c>
    </row>
    <row r="7" spans="1:4" x14ac:dyDescent="0.3">
      <c r="A7" s="7" t="s">
        <v>21</v>
      </c>
      <c r="B7" s="33">
        <v>4</v>
      </c>
      <c r="C7" s="33">
        <v>8</v>
      </c>
      <c r="D7" s="33">
        <v>12</v>
      </c>
    </row>
    <row r="8" spans="1:4" x14ac:dyDescent="0.3">
      <c r="A8" s="7" t="s">
        <v>22</v>
      </c>
      <c r="B8" s="33">
        <v>4</v>
      </c>
      <c r="C8" s="33">
        <v>8</v>
      </c>
      <c r="D8" s="33">
        <v>12</v>
      </c>
    </row>
    <row r="9" spans="1:4" x14ac:dyDescent="0.3">
      <c r="A9" s="7" t="s">
        <v>8</v>
      </c>
      <c r="B9" s="33">
        <v>2</v>
      </c>
      <c r="C9" s="33">
        <v>10</v>
      </c>
      <c r="D9" s="33">
        <v>12</v>
      </c>
    </row>
    <row r="10" spans="1:4" x14ac:dyDescent="0.3">
      <c r="A10" s="7" t="s">
        <v>32</v>
      </c>
      <c r="B10" s="33">
        <v>18</v>
      </c>
      <c r="C10" s="33">
        <v>42</v>
      </c>
      <c r="D10" s="33">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5659-7351-4BBC-9B10-64875CC23A84}">
  <dimension ref="A1:X54"/>
  <sheetViews>
    <sheetView tabSelected="1" zoomScale="90" zoomScaleNormal="90" workbookViewId="0">
      <selection activeCell="U16" sqref="U16"/>
    </sheetView>
  </sheetViews>
  <sheetFormatPr defaultRowHeight="14.4" x14ac:dyDescent="0.3"/>
  <cols>
    <col min="1" max="1" width="29.6640625" bestFit="1" customWidth="1"/>
    <col min="2" max="2" width="17.21875" bestFit="1" customWidth="1"/>
  </cols>
  <sheetData>
    <row r="1" spans="1:24" x14ac:dyDescent="0.3">
      <c r="A1" s="14"/>
      <c r="B1" s="15"/>
      <c r="C1" s="15"/>
      <c r="D1" s="15"/>
      <c r="E1" s="15"/>
      <c r="F1" s="15"/>
      <c r="G1" s="15"/>
      <c r="H1" s="15"/>
      <c r="I1" s="15"/>
      <c r="J1" s="15"/>
      <c r="K1" s="15"/>
      <c r="L1" s="15"/>
      <c r="M1" s="15"/>
      <c r="N1" s="15"/>
      <c r="O1" s="15"/>
      <c r="P1" s="15"/>
      <c r="Q1" s="15"/>
      <c r="R1" s="15"/>
      <c r="S1" s="15"/>
      <c r="T1" s="15"/>
      <c r="U1" s="15"/>
      <c r="V1" s="15"/>
      <c r="W1" s="15"/>
      <c r="X1" s="22"/>
    </row>
    <row r="2" spans="1:24" ht="18" x14ac:dyDescent="0.35">
      <c r="A2" s="10" t="s">
        <v>27</v>
      </c>
      <c r="B2" s="11">
        <f>'FP&amp;A Summary'!B4</f>
        <v>-211000</v>
      </c>
      <c r="C2" s="12"/>
      <c r="D2" s="12"/>
      <c r="E2" s="12"/>
      <c r="F2" s="12"/>
      <c r="G2" s="12"/>
      <c r="H2" s="12"/>
      <c r="I2" s="12"/>
      <c r="J2" s="12"/>
      <c r="K2" s="12"/>
      <c r="L2" s="12"/>
      <c r="M2" s="12"/>
      <c r="N2" s="12"/>
      <c r="O2" s="12"/>
      <c r="P2" s="12"/>
      <c r="Q2" s="12"/>
      <c r="R2" s="12"/>
      <c r="S2" s="12"/>
      <c r="T2" s="12"/>
      <c r="U2" s="12"/>
      <c r="V2" s="12"/>
      <c r="W2" s="12"/>
      <c r="X2" s="23"/>
    </row>
    <row r="3" spans="1:24" ht="18" x14ac:dyDescent="0.35">
      <c r="A3" s="10" t="s">
        <v>25</v>
      </c>
      <c r="B3" s="11">
        <f>'FP&amp;A Summary'!B2</f>
        <v>-120000</v>
      </c>
      <c r="C3" s="12"/>
      <c r="D3" s="12"/>
      <c r="E3" s="12"/>
      <c r="F3" s="12"/>
      <c r="G3" s="12"/>
      <c r="H3" s="12"/>
      <c r="I3" s="12"/>
      <c r="J3" s="12"/>
      <c r="K3" s="12"/>
      <c r="L3" s="12"/>
      <c r="M3" s="12"/>
      <c r="N3" s="12"/>
      <c r="O3" s="12"/>
      <c r="P3" s="12"/>
      <c r="Q3" s="12"/>
      <c r="R3" s="12"/>
      <c r="S3" s="12"/>
      <c r="T3" s="12"/>
      <c r="U3" s="12"/>
      <c r="V3" s="12"/>
      <c r="W3" s="12"/>
      <c r="X3" s="23"/>
    </row>
    <row r="4" spans="1:24" ht="18" x14ac:dyDescent="0.35">
      <c r="A4" s="10" t="s">
        <v>26</v>
      </c>
      <c r="B4" s="11">
        <f>'FP&amp;A Summary'!B3</f>
        <v>91000</v>
      </c>
      <c r="C4" s="12"/>
      <c r="D4" s="12"/>
      <c r="E4" s="12"/>
      <c r="F4" s="12"/>
      <c r="G4" s="12"/>
      <c r="H4" s="12"/>
      <c r="I4" s="12"/>
      <c r="J4" s="12"/>
      <c r="K4" s="12"/>
      <c r="L4" s="12"/>
      <c r="M4" s="12"/>
      <c r="N4" s="12"/>
      <c r="O4" s="12"/>
      <c r="P4" s="12"/>
      <c r="Q4" s="12"/>
      <c r="R4" s="12"/>
      <c r="S4" s="12"/>
      <c r="T4" s="12"/>
      <c r="U4" s="12"/>
      <c r="V4" s="12"/>
      <c r="W4" s="12"/>
      <c r="X4" s="23"/>
    </row>
    <row r="5" spans="1:24" ht="18" x14ac:dyDescent="0.35">
      <c r="A5" s="10" t="s">
        <v>40</v>
      </c>
      <c r="B5" s="10">
        <f>'FP&amp;A Summary'!B6</f>
        <v>18</v>
      </c>
      <c r="C5" s="12"/>
      <c r="D5" s="12"/>
      <c r="E5" s="12"/>
      <c r="F5" s="12"/>
      <c r="G5" s="12"/>
      <c r="H5" s="12"/>
      <c r="I5" s="12"/>
      <c r="J5" s="12"/>
      <c r="K5" s="12"/>
      <c r="L5" s="12"/>
      <c r="M5" s="12"/>
      <c r="N5" s="12"/>
      <c r="O5" s="12"/>
      <c r="P5" s="12"/>
      <c r="Q5" s="12"/>
      <c r="R5" s="12"/>
      <c r="S5" s="12"/>
      <c r="T5" s="12"/>
      <c r="U5" s="12"/>
      <c r="V5" s="12"/>
      <c r="W5" s="12"/>
      <c r="X5" s="23"/>
    </row>
    <row r="6" spans="1:24" ht="18" x14ac:dyDescent="0.35">
      <c r="A6" s="10" t="s">
        <v>41</v>
      </c>
      <c r="B6" s="10">
        <f>'FP&amp;A Summary'!B7</f>
        <v>42</v>
      </c>
      <c r="C6" s="12"/>
      <c r="D6" s="12"/>
      <c r="E6" s="12"/>
      <c r="F6" s="12"/>
      <c r="G6" s="12"/>
      <c r="H6" s="12"/>
      <c r="I6" s="12"/>
      <c r="J6" s="12"/>
      <c r="K6" s="12"/>
      <c r="L6" s="12"/>
      <c r="M6" s="12"/>
      <c r="N6" s="12"/>
      <c r="O6" s="12"/>
      <c r="P6" s="12"/>
      <c r="Q6" s="12"/>
      <c r="R6" s="12"/>
      <c r="S6" s="12"/>
      <c r="T6" s="12"/>
      <c r="U6" s="12"/>
      <c r="V6" s="12"/>
      <c r="W6" s="12"/>
      <c r="X6" s="23"/>
    </row>
    <row r="7" spans="1:24" ht="18" x14ac:dyDescent="0.35">
      <c r="A7" s="10" t="s">
        <v>43</v>
      </c>
      <c r="B7" s="25">
        <f>B2/(SUM(Table2[Budget]))</f>
        <v>-9.8166930306131939E-3</v>
      </c>
      <c r="C7" s="12"/>
      <c r="D7" s="12"/>
      <c r="E7" s="12"/>
      <c r="F7" s="12"/>
      <c r="G7" s="12"/>
      <c r="H7" s="12"/>
      <c r="I7" s="12"/>
      <c r="J7" s="12"/>
      <c r="K7" s="12"/>
      <c r="L7" s="12"/>
      <c r="M7" s="12"/>
      <c r="N7" s="12"/>
      <c r="O7" s="12"/>
      <c r="P7" s="12"/>
      <c r="Q7" s="12"/>
      <c r="R7" s="12"/>
      <c r="S7" s="12"/>
      <c r="T7" s="12"/>
      <c r="U7" s="12"/>
      <c r="V7" s="12"/>
      <c r="W7" s="12"/>
      <c r="X7" s="23"/>
    </row>
    <row r="8" spans="1:24" ht="18" x14ac:dyDescent="0.35">
      <c r="A8" s="10" t="s">
        <v>44</v>
      </c>
      <c r="B8" s="10" t="str">
        <f>INDEX(Table2[Category],MATCH(MIN(Table2[Variance %]),Table2[Variance %],0))</f>
        <v>Marketing</v>
      </c>
      <c r="C8" s="12"/>
      <c r="D8" s="12"/>
      <c r="E8" s="12"/>
      <c r="F8" s="12"/>
      <c r="G8" s="12"/>
      <c r="H8" s="12"/>
      <c r="I8" s="12"/>
      <c r="J8" s="12"/>
      <c r="K8" s="12"/>
      <c r="L8" s="12"/>
      <c r="M8" s="12"/>
      <c r="N8" s="12"/>
      <c r="O8" s="12"/>
      <c r="P8" s="12"/>
      <c r="Q8" s="12"/>
      <c r="R8" s="12"/>
      <c r="S8" s="12"/>
      <c r="T8" s="12"/>
      <c r="U8" s="12"/>
      <c r="V8" s="12"/>
      <c r="W8" s="12"/>
      <c r="X8" s="23"/>
    </row>
    <row r="9" spans="1:24" x14ac:dyDescent="0.3">
      <c r="A9" s="17"/>
      <c r="B9" s="12"/>
      <c r="C9" s="12"/>
      <c r="D9" s="12"/>
      <c r="E9" s="12"/>
      <c r="F9" s="12"/>
      <c r="G9" s="12"/>
      <c r="H9" s="12"/>
      <c r="I9" s="12"/>
      <c r="J9" s="12"/>
      <c r="K9" s="12"/>
      <c r="L9" s="12"/>
      <c r="M9" s="12"/>
      <c r="N9" s="12"/>
      <c r="O9" s="12"/>
      <c r="P9" s="12"/>
      <c r="Q9" s="12"/>
      <c r="R9" s="12"/>
      <c r="S9" s="12"/>
      <c r="T9" s="12"/>
      <c r="U9" s="12"/>
      <c r="V9" s="12"/>
      <c r="W9" s="12"/>
      <c r="X9" s="23"/>
    </row>
    <row r="10" spans="1:24" x14ac:dyDescent="0.3">
      <c r="A10" s="17"/>
      <c r="B10" s="12"/>
      <c r="C10" s="12"/>
      <c r="D10" s="12"/>
      <c r="E10" s="12"/>
      <c r="F10" s="12"/>
      <c r="G10" s="12"/>
      <c r="H10" s="12"/>
      <c r="I10" s="12"/>
      <c r="J10" s="12"/>
      <c r="K10" s="12"/>
      <c r="L10" s="12"/>
      <c r="M10" s="12"/>
      <c r="N10" s="12"/>
      <c r="O10" s="12"/>
      <c r="P10" s="12"/>
      <c r="Q10" s="12"/>
      <c r="R10" s="12"/>
      <c r="S10" s="12"/>
      <c r="T10" s="12"/>
      <c r="U10" s="12"/>
      <c r="V10" s="12"/>
      <c r="W10" s="12"/>
      <c r="X10" s="23"/>
    </row>
    <row r="11" spans="1:24" x14ac:dyDescent="0.3">
      <c r="A11" s="17"/>
      <c r="B11" s="12"/>
      <c r="C11" s="12"/>
      <c r="D11" s="12"/>
      <c r="E11" s="12"/>
      <c r="F11" s="12"/>
      <c r="G11" s="12"/>
      <c r="H11" s="12"/>
      <c r="I11" s="12"/>
      <c r="J11" s="12"/>
      <c r="K11" s="12"/>
      <c r="L11" s="12"/>
      <c r="M11" s="12"/>
      <c r="N11" s="12"/>
      <c r="O11" s="12"/>
      <c r="P11" s="12"/>
      <c r="Q11" s="12"/>
      <c r="R11" s="12"/>
      <c r="S11" s="12"/>
      <c r="T11" s="12"/>
      <c r="U11" s="12"/>
      <c r="V11" s="12"/>
      <c r="W11" s="12"/>
      <c r="X11" s="23"/>
    </row>
    <row r="12" spans="1:24" x14ac:dyDescent="0.3">
      <c r="A12" s="17"/>
      <c r="B12" s="12"/>
      <c r="C12" s="12"/>
      <c r="D12" s="12"/>
      <c r="E12" s="12"/>
      <c r="F12" s="12"/>
      <c r="G12" s="12"/>
      <c r="H12" s="12"/>
      <c r="I12" s="12"/>
      <c r="J12" s="12"/>
      <c r="K12" s="12"/>
      <c r="L12" s="12"/>
      <c r="M12" s="12"/>
      <c r="N12" s="12"/>
      <c r="O12" s="12"/>
      <c r="P12" s="12"/>
      <c r="Q12" s="12"/>
      <c r="R12" s="12"/>
      <c r="S12" s="12"/>
      <c r="T12" s="12"/>
      <c r="U12" s="12"/>
      <c r="V12" s="12"/>
      <c r="W12" s="12"/>
      <c r="X12" s="23"/>
    </row>
    <row r="13" spans="1:24" x14ac:dyDescent="0.3">
      <c r="A13" s="17"/>
      <c r="B13" s="12"/>
      <c r="C13" s="12"/>
      <c r="D13" s="12"/>
      <c r="E13" s="12"/>
      <c r="F13" s="12"/>
      <c r="G13" s="12"/>
      <c r="H13" s="12"/>
      <c r="I13" s="12"/>
      <c r="J13" s="12"/>
      <c r="K13" s="12"/>
      <c r="L13" s="12"/>
      <c r="M13" s="12"/>
      <c r="N13" s="12"/>
      <c r="O13" s="12"/>
      <c r="P13" s="12"/>
      <c r="Q13" s="12"/>
      <c r="R13" s="12"/>
      <c r="S13" s="12"/>
      <c r="T13" s="12"/>
      <c r="U13" s="12"/>
      <c r="V13" s="12"/>
      <c r="W13" s="12"/>
      <c r="X13" s="23"/>
    </row>
    <row r="14" spans="1:24" x14ac:dyDescent="0.3">
      <c r="A14" s="17"/>
      <c r="B14" s="12"/>
      <c r="C14" s="12"/>
      <c r="D14" s="12"/>
      <c r="E14" s="12"/>
      <c r="F14" s="12"/>
      <c r="G14" s="12"/>
      <c r="H14" s="12"/>
      <c r="I14" s="12"/>
      <c r="J14" s="12"/>
      <c r="K14" s="12"/>
      <c r="L14" s="12"/>
      <c r="M14" s="12"/>
      <c r="N14" s="12"/>
      <c r="O14" s="12"/>
      <c r="P14" s="12"/>
      <c r="Q14" s="12"/>
      <c r="R14" s="12"/>
      <c r="S14" s="12"/>
      <c r="T14" s="12"/>
      <c r="U14" s="12"/>
      <c r="V14" s="12"/>
      <c r="W14" s="12"/>
      <c r="X14" s="23"/>
    </row>
    <row r="15" spans="1:24" x14ac:dyDescent="0.3">
      <c r="A15" s="17"/>
      <c r="B15" s="12"/>
      <c r="C15" s="12"/>
      <c r="D15" s="12"/>
      <c r="E15" s="12"/>
      <c r="F15" s="12"/>
      <c r="G15" s="12"/>
      <c r="H15" s="12"/>
      <c r="I15" s="12"/>
      <c r="J15" s="12"/>
      <c r="K15" s="12"/>
      <c r="L15" s="12"/>
      <c r="M15" s="12"/>
      <c r="N15" s="12"/>
      <c r="O15" s="12"/>
      <c r="P15" s="12"/>
      <c r="Q15" s="12"/>
      <c r="R15" s="12"/>
      <c r="S15" s="12"/>
      <c r="T15" s="12"/>
      <c r="U15" s="12"/>
      <c r="V15" s="12"/>
      <c r="W15" s="12"/>
      <c r="X15" s="23"/>
    </row>
    <row r="16" spans="1:24" x14ac:dyDescent="0.3">
      <c r="A16" s="17"/>
      <c r="B16" s="12"/>
      <c r="C16" s="12"/>
      <c r="D16" s="12"/>
      <c r="E16" s="12"/>
      <c r="F16" s="12"/>
      <c r="G16" s="12"/>
      <c r="H16" s="12"/>
      <c r="I16" s="12"/>
      <c r="J16" s="12"/>
      <c r="K16" s="12"/>
      <c r="L16" s="12"/>
      <c r="M16" s="12"/>
      <c r="N16" s="12"/>
      <c r="O16" s="12"/>
      <c r="P16" s="12"/>
      <c r="Q16" s="12"/>
      <c r="R16" s="12"/>
      <c r="S16" s="12"/>
      <c r="T16" s="12"/>
      <c r="U16" s="12"/>
      <c r="V16" s="12"/>
      <c r="W16" s="12"/>
      <c r="X16" s="23"/>
    </row>
    <row r="17" spans="1:24" x14ac:dyDescent="0.3">
      <c r="A17" s="17"/>
      <c r="B17" s="12"/>
      <c r="C17" s="12"/>
      <c r="D17" s="12"/>
      <c r="E17" s="12"/>
      <c r="F17" s="12"/>
      <c r="G17" s="12"/>
      <c r="H17" s="12"/>
      <c r="I17" s="12"/>
      <c r="J17" s="12"/>
      <c r="K17" s="12"/>
      <c r="L17" s="12"/>
      <c r="M17" s="12"/>
      <c r="N17" s="12"/>
      <c r="O17" s="12"/>
      <c r="P17" s="12"/>
      <c r="Q17" s="12"/>
      <c r="R17" s="12"/>
      <c r="S17" s="12"/>
      <c r="T17" s="12"/>
      <c r="U17" s="12"/>
      <c r="V17" s="12"/>
      <c r="W17" s="12"/>
      <c r="X17" s="23"/>
    </row>
    <row r="18" spans="1:24" x14ac:dyDescent="0.3">
      <c r="A18" s="17"/>
      <c r="B18" s="12"/>
      <c r="C18" s="12"/>
      <c r="D18" s="12"/>
      <c r="E18" s="12"/>
      <c r="F18" s="12"/>
      <c r="G18" s="12"/>
      <c r="H18" s="12"/>
      <c r="I18" s="12"/>
      <c r="J18" s="12"/>
      <c r="K18" s="12"/>
      <c r="L18" s="12"/>
      <c r="M18" s="12"/>
      <c r="N18" s="12"/>
      <c r="O18" s="12"/>
      <c r="P18" s="12"/>
      <c r="Q18" s="12"/>
      <c r="R18" s="12"/>
      <c r="S18" s="12"/>
      <c r="T18" s="12"/>
      <c r="U18" s="12"/>
      <c r="V18" s="12"/>
      <c r="W18" s="12"/>
      <c r="X18" s="23"/>
    </row>
    <row r="19" spans="1:24" x14ac:dyDescent="0.3">
      <c r="A19" s="17"/>
      <c r="B19" s="12"/>
      <c r="C19" s="12"/>
      <c r="D19" s="12"/>
      <c r="E19" s="12"/>
      <c r="F19" s="12"/>
      <c r="G19" s="12"/>
      <c r="H19" s="12"/>
      <c r="I19" s="12"/>
      <c r="J19" s="12"/>
      <c r="K19" s="12"/>
      <c r="L19" s="12"/>
      <c r="M19" s="12"/>
      <c r="N19" s="12"/>
      <c r="O19" s="12"/>
      <c r="P19" s="12"/>
      <c r="Q19" s="12"/>
      <c r="R19" s="12"/>
      <c r="S19" s="12"/>
      <c r="T19" s="12"/>
      <c r="U19" s="12"/>
      <c r="V19" s="12"/>
      <c r="W19" s="12"/>
      <c r="X19" s="23"/>
    </row>
    <row r="20" spans="1:24" x14ac:dyDescent="0.3">
      <c r="A20" s="17"/>
      <c r="B20" s="12"/>
      <c r="C20" s="12"/>
      <c r="D20" s="12"/>
      <c r="E20" s="12"/>
      <c r="F20" s="12"/>
      <c r="G20" s="12"/>
      <c r="H20" s="12"/>
      <c r="I20" s="12"/>
      <c r="J20" s="12"/>
      <c r="K20" s="12"/>
      <c r="L20" s="12"/>
      <c r="M20" s="12"/>
      <c r="N20" s="12"/>
      <c r="O20" s="12"/>
      <c r="P20" s="12"/>
      <c r="Q20" s="12"/>
      <c r="R20" s="12"/>
      <c r="S20" s="12"/>
      <c r="T20" s="12"/>
      <c r="U20" s="12"/>
      <c r="V20" s="12"/>
      <c r="W20" s="12"/>
      <c r="X20" s="23"/>
    </row>
    <row r="21" spans="1:24" x14ac:dyDescent="0.3">
      <c r="A21" s="17"/>
      <c r="B21" s="12"/>
      <c r="C21" s="12"/>
      <c r="D21" s="12"/>
      <c r="E21" s="12"/>
      <c r="F21" s="12"/>
      <c r="G21" s="12"/>
      <c r="H21" s="12"/>
      <c r="I21" s="12"/>
      <c r="J21" s="12"/>
      <c r="K21" s="12"/>
      <c r="L21" s="12"/>
      <c r="M21" s="12"/>
      <c r="N21" s="12"/>
      <c r="O21" s="12"/>
      <c r="P21" s="12"/>
      <c r="Q21" s="12"/>
      <c r="R21" s="12"/>
      <c r="S21" s="12"/>
      <c r="T21" s="12"/>
      <c r="U21" s="12"/>
      <c r="V21" s="12"/>
      <c r="W21" s="12"/>
      <c r="X21" s="23"/>
    </row>
    <row r="22" spans="1:24" x14ac:dyDescent="0.3">
      <c r="A22" s="17"/>
      <c r="B22" s="12"/>
      <c r="C22" s="12"/>
      <c r="D22" s="12"/>
      <c r="E22" s="12"/>
      <c r="F22" s="12"/>
      <c r="G22" s="12"/>
      <c r="H22" s="12"/>
      <c r="I22" s="12"/>
      <c r="J22" s="12"/>
      <c r="K22" s="12"/>
      <c r="L22" s="12"/>
      <c r="M22" s="12"/>
      <c r="N22" s="12"/>
      <c r="O22" s="12"/>
      <c r="P22" s="12"/>
      <c r="Q22" s="12"/>
      <c r="R22" s="12"/>
      <c r="S22" s="12"/>
      <c r="T22" s="12"/>
      <c r="U22" s="12"/>
      <c r="V22" s="12"/>
      <c r="W22" s="12"/>
      <c r="X22" s="23"/>
    </row>
    <row r="23" spans="1:24" x14ac:dyDescent="0.3">
      <c r="A23" s="17"/>
      <c r="B23" s="12"/>
      <c r="C23" s="12"/>
      <c r="D23" s="12"/>
      <c r="E23" s="12"/>
      <c r="F23" s="12"/>
      <c r="G23" s="12"/>
      <c r="H23" s="12"/>
      <c r="I23" s="12"/>
      <c r="J23" s="12"/>
      <c r="K23" s="12"/>
      <c r="L23" s="12"/>
      <c r="M23" s="12"/>
      <c r="N23" s="12"/>
      <c r="O23" s="12"/>
      <c r="P23" s="12"/>
      <c r="Q23" s="12"/>
      <c r="R23" s="12"/>
      <c r="S23" s="12"/>
      <c r="T23" s="12"/>
      <c r="U23" s="12"/>
      <c r="V23" s="12"/>
      <c r="W23" s="12"/>
      <c r="X23" s="23"/>
    </row>
    <row r="24" spans="1:24" x14ac:dyDescent="0.3">
      <c r="A24" s="17"/>
      <c r="B24" s="12"/>
      <c r="C24" s="12"/>
      <c r="D24" s="12"/>
      <c r="E24" s="12"/>
      <c r="F24" s="12"/>
      <c r="G24" s="12"/>
      <c r="H24" s="12"/>
      <c r="I24" s="12"/>
      <c r="J24" s="12"/>
      <c r="K24" s="12"/>
      <c r="L24" s="12"/>
      <c r="M24" s="12"/>
      <c r="N24" s="12"/>
      <c r="O24" s="12"/>
      <c r="P24" s="12"/>
      <c r="Q24" s="12"/>
      <c r="R24" s="12"/>
      <c r="S24" s="12"/>
      <c r="T24" s="12"/>
      <c r="U24" s="12"/>
      <c r="V24" s="12"/>
      <c r="W24" s="12"/>
      <c r="X24" s="23"/>
    </row>
    <row r="25" spans="1:24" x14ac:dyDescent="0.3">
      <c r="A25" s="17"/>
      <c r="B25" s="12"/>
      <c r="C25" s="12"/>
      <c r="D25" s="12"/>
      <c r="E25" s="12"/>
      <c r="F25" s="12"/>
      <c r="G25" s="12"/>
      <c r="H25" s="12"/>
      <c r="I25" s="12"/>
      <c r="J25" s="12"/>
      <c r="K25" s="12"/>
      <c r="L25" s="12"/>
      <c r="M25" s="12"/>
      <c r="N25" s="12"/>
      <c r="O25" s="12"/>
      <c r="P25" s="12"/>
      <c r="Q25" s="12"/>
      <c r="R25" s="12"/>
      <c r="S25" s="12"/>
      <c r="T25" s="12"/>
      <c r="U25" s="12"/>
      <c r="V25" s="12"/>
      <c r="W25" s="12"/>
      <c r="X25" s="23"/>
    </row>
    <row r="26" spans="1:24" x14ac:dyDescent="0.3">
      <c r="A26" s="17"/>
      <c r="B26" s="12"/>
      <c r="C26" s="12"/>
      <c r="D26" s="12"/>
      <c r="E26" s="12"/>
      <c r="F26" s="12"/>
      <c r="G26" s="12"/>
      <c r="H26" s="12"/>
      <c r="I26" s="12"/>
      <c r="J26" s="12"/>
      <c r="K26" s="12"/>
      <c r="L26" s="12"/>
      <c r="M26" s="12"/>
      <c r="N26" s="12"/>
      <c r="O26" s="12"/>
      <c r="P26" s="12"/>
      <c r="Q26" s="12"/>
      <c r="R26" s="12"/>
      <c r="S26" s="12"/>
      <c r="T26" s="12"/>
      <c r="U26" s="12"/>
      <c r="V26" s="12"/>
      <c r="W26" s="12"/>
      <c r="X26" s="23"/>
    </row>
    <row r="27" spans="1:24" x14ac:dyDescent="0.3">
      <c r="A27" s="17"/>
      <c r="B27" s="12"/>
      <c r="C27" s="12"/>
      <c r="D27" s="12"/>
      <c r="E27" s="12"/>
      <c r="F27" s="12"/>
      <c r="G27" s="12"/>
      <c r="H27" s="12"/>
      <c r="I27" s="12"/>
      <c r="J27" s="12"/>
      <c r="K27" s="12"/>
      <c r="L27" s="12"/>
      <c r="M27" s="12"/>
      <c r="N27" s="12"/>
      <c r="O27" s="12"/>
      <c r="P27" s="12"/>
      <c r="Q27" s="12"/>
      <c r="R27" s="12"/>
      <c r="S27" s="12"/>
      <c r="T27" s="12"/>
      <c r="U27" s="12"/>
      <c r="V27" s="12"/>
      <c r="W27" s="12"/>
      <c r="X27" s="23"/>
    </row>
    <row r="28" spans="1:24" x14ac:dyDescent="0.3">
      <c r="A28" s="17"/>
      <c r="B28" s="12"/>
      <c r="C28" s="12"/>
      <c r="D28" s="12"/>
      <c r="E28" s="12"/>
      <c r="F28" s="12"/>
      <c r="G28" s="12"/>
      <c r="H28" s="12"/>
      <c r="I28" s="12"/>
      <c r="J28" s="12"/>
      <c r="K28" s="12"/>
      <c r="L28" s="12"/>
      <c r="M28" s="12"/>
      <c r="N28" s="12"/>
      <c r="O28" s="12"/>
      <c r="P28" s="12"/>
      <c r="Q28" s="12"/>
      <c r="R28" s="12"/>
      <c r="S28" s="12"/>
      <c r="T28" s="12"/>
      <c r="U28" s="12"/>
      <c r="V28" s="12"/>
      <c r="W28" s="12"/>
      <c r="X28" s="23"/>
    </row>
    <row r="29" spans="1:24" x14ac:dyDescent="0.3">
      <c r="A29" s="17"/>
      <c r="B29" s="12"/>
      <c r="C29" s="12"/>
      <c r="D29" s="12"/>
      <c r="E29" s="12"/>
      <c r="F29" s="12"/>
      <c r="G29" s="12"/>
      <c r="H29" s="12"/>
      <c r="I29" s="12"/>
      <c r="J29" s="12"/>
      <c r="K29" s="12"/>
      <c r="L29" s="12"/>
      <c r="M29" s="12"/>
      <c r="N29" s="12"/>
      <c r="O29" s="12"/>
      <c r="P29" s="12"/>
      <c r="Q29" s="12"/>
      <c r="R29" s="12"/>
      <c r="S29" s="12"/>
      <c r="T29" s="12"/>
      <c r="U29" s="12"/>
      <c r="V29" s="12"/>
      <c r="W29" s="12"/>
      <c r="X29" s="23"/>
    </row>
    <row r="30" spans="1:24" x14ac:dyDescent="0.3">
      <c r="A30" s="17"/>
      <c r="B30" s="12"/>
      <c r="C30" s="12"/>
      <c r="D30" s="12"/>
      <c r="E30" s="12"/>
      <c r="F30" s="12"/>
      <c r="G30" s="12"/>
      <c r="H30" s="12"/>
      <c r="I30" s="12"/>
      <c r="J30" s="12"/>
      <c r="K30" s="12"/>
      <c r="L30" s="12"/>
      <c r="M30" s="12"/>
      <c r="N30" s="12"/>
      <c r="O30" s="12"/>
      <c r="P30" s="12"/>
      <c r="Q30" s="12"/>
      <c r="R30" s="12"/>
      <c r="S30" s="12"/>
      <c r="T30" s="12"/>
      <c r="U30" s="12"/>
      <c r="V30" s="12"/>
      <c r="W30" s="12"/>
      <c r="X30" s="23"/>
    </row>
    <row r="31" spans="1:24" x14ac:dyDescent="0.3">
      <c r="A31" s="17"/>
      <c r="B31" s="12"/>
      <c r="C31" s="12"/>
      <c r="D31" s="12"/>
      <c r="E31" s="12"/>
      <c r="F31" s="12"/>
      <c r="G31" s="12"/>
      <c r="H31" s="12"/>
      <c r="I31" s="12"/>
      <c r="J31" s="12"/>
      <c r="K31" s="12"/>
      <c r="L31" s="12"/>
      <c r="M31" s="12"/>
      <c r="N31" s="12"/>
      <c r="O31" s="12"/>
      <c r="P31" s="12"/>
      <c r="Q31" s="12"/>
      <c r="R31" s="12"/>
      <c r="S31" s="12"/>
      <c r="T31" s="12"/>
      <c r="U31" s="12"/>
      <c r="V31" s="12"/>
      <c r="W31" s="12"/>
      <c r="X31" s="23"/>
    </row>
    <row r="32" spans="1:24" x14ac:dyDescent="0.3">
      <c r="A32" s="17"/>
      <c r="B32" s="12"/>
      <c r="C32" s="12"/>
      <c r="D32" s="12"/>
      <c r="E32" s="12"/>
      <c r="F32" s="12"/>
      <c r="G32" s="12"/>
      <c r="H32" s="12"/>
      <c r="I32" s="12"/>
      <c r="J32" s="12"/>
      <c r="K32" s="12"/>
      <c r="L32" s="12"/>
      <c r="M32" s="12"/>
      <c r="N32" s="12"/>
      <c r="O32" s="12"/>
      <c r="P32" s="12"/>
      <c r="Q32" s="12"/>
      <c r="R32" s="12"/>
      <c r="S32" s="12"/>
      <c r="T32" s="12"/>
      <c r="U32" s="12"/>
      <c r="V32" s="12"/>
      <c r="W32" s="12"/>
      <c r="X32" s="23"/>
    </row>
    <row r="33" spans="1:24" x14ac:dyDescent="0.3">
      <c r="A33" s="17"/>
      <c r="B33" s="12"/>
      <c r="C33" s="12"/>
      <c r="D33" s="12"/>
      <c r="E33" s="12"/>
      <c r="F33" s="12"/>
      <c r="G33" s="12"/>
      <c r="H33" s="12"/>
      <c r="I33" s="12"/>
      <c r="J33" s="12"/>
      <c r="K33" s="12"/>
      <c r="L33" s="12"/>
      <c r="M33" s="12"/>
      <c r="N33" s="12"/>
      <c r="O33" s="12"/>
      <c r="P33" s="12"/>
      <c r="Q33" s="12"/>
      <c r="R33" s="12"/>
      <c r="S33" s="12"/>
      <c r="T33" s="12"/>
      <c r="U33" s="12"/>
      <c r="V33" s="12"/>
      <c r="W33" s="12"/>
      <c r="X33" s="23"/>
    </row>
    <row r="34" spans="1:24" x14ac:dyDescent="0.3">
      <c r="A34" s="17"/>
      <c r="B34" s="12"/>
      <c r="C34" s="12"/>
      <c r="D34" s="12"/>
      <c r="E34" s="12"/>
      <c r="F34" s="12"/>
      <c r="G34" s="12"/>
      <c r="H34" s="12"/>
      <c r="I34" s="12"/>
      <c r="J34" s="12"/>
      <c r="K34" s="12"/>
      <c r="L34" s="12"/>
      <c r="M34" s="12"/>
      <c r="N34" s="12"/>
      <c r="O34" s="12"/>
      <c r="P34" s="12"/>
      <c r="Q34" s="12"/>
      <c r="R34" s="12"/>
      <c r="S34" s="12"/>
      <c r="T34" s="12"/>
      <c r="U34" s="12"/>
      <c r="V34" s="12"/>
      <c r="W34" s="12"/>
      <c r="X34" s="23"/>
    </row>
    <row r="35" spans="1:24" x14ac:dyDescent="0.3">
      <c r="A35" s="17"/>
      <c r="B35" s="12"/>
      <c r="C35" s="12"/>
      <c r="D35" s="12"/>
      <c r="E35" s="12"/>
      <c r="F35" s="12"/>
      <c r="G35" s="12"/>
      <c r="H35" s="12"/>
      <c r="I35" s="12"/>
      <c r="J35" s="12"/>
      <c r="K35" s="12"/>
      <c r="L35" s="12"/>
      <c r="M35" s="12"/>
      <c r="N35" s="12"/>
      <c r="O35" s="12"/>
      <c r="P35" s="12"/>
      <c r="Q35" s="12"/>
      <c r="R35" s="12"/>
      <c r="S35" s="12"/>
      <c r="T35" s="12"/>
      <c r="U35" s="12"/>
      <c r="V35" s="12"/>
      <c r="W35" s="12"/>
      <c r="X35" s="23"/>
    </row>
    <row r="36" spans="1:24" x14ac:dyDescent="0.3">
      <c r="A36" s="17"/>
      <c r="B36" s="12"/>
      <c r="C36" s="12"/>
      <c r="D36" s="12"/>
      <c r="E36" s="12"/>
      <c r="F36" s="12"/>
      <c r="G36" s="12"/>
      <c r="H36" s="12"/>
      <c r="I36" s="12"/>
      <c r="J36" s="12"/>
      <c r="K36" s="12"/>
      <c r="L36" s="12"/>
      <c r="M36" s="12"/>
      <c r="N36" s="12"/>
      <c r="O36" s="12"/>
      <c r="P36" s="12"/>
      <c r="Q36" s="12"/>
      <c r="R36" s="12"/>
      <c r="S36" s="12"/>
      <c r="T36" s="12"/>
      <c r="U36" s="12"/>
      <c r="V36" s="12"/>
      <c r="W36" s="12"/>
      <c r="X36" s="23"/>
    </row>
    <row r="37" spans="1:24" x14ac:dyDescent="0.3">
      <c r="A37" s="17"/>
      <c r="B37" s="12"/>
      <c r="C37" s="12"/>
      <c r="D37" s="12"/>
      <c r="E37" s="12"/>
      <c r="F37" s="12"/>
      <c r="G37" s="12"/>
      <c r="H37" s="12"/>
      <c r="I37" s="12"/>
      <c r="J37" s="12"/>
      <c r="K37" s="12"/>
      <c r="L37" s="12"/>
      <c r="M37" s="12"/>
      <c r="N37" s="12"/>
      <c r="O37" s="12"/>
      <c r="P37" s="12"/>
      <c r="Q37" s="12"/>
      <c r="R37" s="12"/>
      <c r="S37" s="12"/>
      <c r="T37" s="12"/>
      <c r="U37" s="12"/>
      <c r="V37" s="12"/>
      <c r="W37" s="12"/>
      <c r="X37" s="23"/>
    </row>
    <row r="38" spans="1:24" x14ac:dyDescent="0.3">
      <c r="A38" s="17"/>
      <c r="B38" s="12"/>
      <c r="C38" s="12"/>
      <c r="D38" s="12"/>
      <c r="E38" s="12"/>
      <c r="F38" s="12"/>
      <c r="G38" s="12"/>
      <c r="H38" s="12"/>
      <c r="I38" s="12"/>
      <c r="J38" s="12"/>
      <c r="K38" s="12"/>
      <c r="L38" s="12"/>
      <c r="M38" s="12"/>
      <c r="N38" s="12"/>
      <c r="O38" s="12"/>
      <c r="P38" s="12"/>
      <c r="Q38" s="12"/>
      <c r="R38" s="12"/>
      <c r="S38" s="12"/>
      <c r="T38" s="12"/>
      <c r="U38" s="12"/>
      <c r="V38" s="12"/>
      <c r="W38" s="12"/>
      <c r="X38" s="23"/>
    </row>
    <row r="39" spans="1:24" x14ac:dyDescent="0.3">
      <c r="A39" s="17"/>
      <c r="B39" s="12"/>
      <c r="C39" s="12"/>
      <c r="D39" s="12"/>
      <c r="E39" s="12"/>
      <c r="F39" s="12"/>
      <c r="G39" s="12"/>
      <c r="H39" s="12"/>
      <c r="I39" s="12"/>
      <c r="J39" s="12"/>
      <c r="K39" s="12"/>
      <c r="L39" s="12"/>
      <c r="M39" s="12"/>
      <c r="N39" s="12"/>
      <c r="O39" s="12"/>
      <c r="P39" s="12"/>
      <c r="Q39" s="12"/>
      <c r="R39" s="12"/>
      <c r="S39" s="12"/>
      <c r="T39" s="12"/>
      <c r="U39" s="12"/>
      <c r="V39" s="12"/>
      <c r="W39" s="12"/>
      <c r="X39" s="23"/>
    </row>
    <row r="40" spans="1:24" x14ac:dyDescent="0.3">
      <c r="A40" s="17"/>
      <c r="B40" s="12"/>
      <c r="C40" s="12"/>
      <c r="D40" s="12"/>
      <c r="E40" s="12"/>
      <c r="F40" s="12"/>
      <c r="G40" s="12"/>
      <c r="H40" s="12"/>
      <c r="I40" s="12"/>
      <c r="J40" s="12"/>
      <c r="K40" s="12"/>
      <c r="L40" s="12"/>
      <c r="M40" s="12"/>
      <c r="N40" s="12"/>
      <c r="O40" s="12"/>
      <c r="P40" s="12"/>
      <c r="Q40" s="12"/>
      <c r="R40" s="12"/>
      <c r="S40" s="12"/>
      <c r="T40" s="12"/>
      <c r="U40" s="12"/>
      <c r="V40" s="12"/>
      <c r="W40" s="12"/>
      <c r="X40" s="23"/>
    </row>
    <row r="41" spans="1:24" x14ac:dyDescent="0.3">
      <c r="A41" s="17"/>
      <c r="B41" s="12"/>
      <c r="C41" s="12"/>
      <c r="D41" s="12"/>
      <c r="E41" s="12"/>
      <c r="F41" s="12"/>
      <c r="G41" s="12"/>
      <c r="H41" s="12"/>
      <c r="I41" s="12"/>
      <c r="J41" s="12"/>
      <c r="K41" s="12"/>
      <c r="L41" s="12"/>
      <c r="M41" s="12"/>
      <c r="N41" s="12"/>
      <c r="O41" s="12"/>
      <c r="P41" s="12"/>
      <c r="Q41" s="12"/>
      <c r="R41" s="12"/>
      <c r="S41" s="12"/>
      <c r="T41" s="12"/>
      <c r="U41" s="12"/>
      <c r="V41" s="12"/>
      <c r="W41" s="12"/>
      <c r="X41" s="23"/>
    </row>
    <row r="42" spans="1:24" x14ac:dyDescent="0.3">
      <c r="A42" s="17"/>
      <c r="B42" s="12"/>
      <c r="C42" s="12"/>
      <c r="D42" s="12"/>
      <c r="E42" s="12"/>
      <c r="F42" s="12"/>
      <c r="G42" s="12"/>
      <c r="H42" s="12"/>
      <c r="I42" s="12"/>
      <c r="J42" s="12"/>
      <c r="K42" s="12"/>
      <c r="L42" s="12"/>
      <c r="M42" s="12"/>
      <c r="N42" s="12"/>
      <c r="O42" s="12"/>
      <c r="P42" s="12"/>
      <c r="Q42" s="12"/>
      <c r="R42" s="12"/>
      <c r="S42" s="12"/>
      <c r="T42" s="12"/>
      <c r="U42" s="12"/>
      <c r="V42" s="12"/>
      <c r="W42" s="12"/>
      <c r="X42" s="23"/>
    </row>
    <row r="43" spans="1:24" x14ac:dyDescent="0.3">
      <c r="A43" s="17"/>
      <c r="B43" s="12"/>
      <c r="C43" s="12"/>
      <c r="D43" s="12"/>
      <c r="E43" s="12"/>
      <c r="F43" s="12"/>
      <c r="G43" s="12"/>
      <c r="H43" s="12"/>
      <c r="I43" s="12"/>
      <c r="J43" s="12"/>
      <c r="K43" s="12"/>
      <c r="L43" s="12"/>
      <c r="M43" s="12"/>
      <c r="N43" s="12"/>
      <c r="O43" s="12"/>
      <c r="P43" s="12"/>
      <c r="Q43" s="12"/>
      <c r="R43" s="12"/>
      <c r="S43" s="12"/>
      <c r="T43" s="12"/>
      <c r="U43" s="12"/>
      <c r="V43" s="12"/>
      <c r="W43" s="12"/>
      <c r="X43" s="23"/>
    </row>
    <row r="44" spans="1:24" x14ac:dyDescent="0.3">
      <c r="A44" s="17"/>
      <c r="B44" s="12"/>
      <c r="C44" s="12"/>
      <c r="D44" s="12"/>
      <c r="E44" s="12"/>
      <c r="F44" s="12"/>
      <c r="G44" s="12"/>
      <c r="H44" s="12"/>
      <c r="I44" s="12"/>
      <c r="J44" s="12"/>
      <c r="K44" s="12"/>
      <c r="L44" s="12"/>
      <c r="M44" s="12"/>
      <c r="N44" s="12"/>
      <c r="O44" s="12"/>
      <c r="P44" s="12"/>
      <c r="Q44" s="12"/>
      <c r="R44" s="12"/>
      <c r="S44" s="12"/>
      <c r="T44" s="12"/>
      <c r="U44" s="12"/>
      <c r="V44" s="12"/>
      <c r="W44" s="12"/>
      <c r="X44" s="23"/>
    </row>
    <row r="45" spans="1:24" ht="18" customHeight="1" x14ac:dyDescent="0.4">
      <c r="A45" s="28" t="s">
        <v>45</v>
      </c>
      <c r="B45" s="29"/>
      <c r="C45" s="29"/>
      <c r="D45" s="29"/>
      <c r="E45" s="29"/>
      <c r="F45" s="29"/>
      <c r="G45" s="29"/>
      <c r="H45" s="29"/>
      <c r="I45" s="29"/>
      <c r="J45" s="29"/>
      <c r="K45" s="29"/>
      <c r="L45" s="29"/>
      <c r="M45" s="29"/>
      <c r="N45" s="29"/>
      <c r="O45" s="29"/>
      <c r="P45" s="29"/>
      <c r="Q45" s="29"/>
      <c r="R45" s="29"/>
      <c r="S45" s="29"/>
      <c r="T45" s="29"/>
      <c r="U45" s="29"/>
      <c r="V45" s="29"/>
      <c r="W45" s="29"/>
      <c r="X45" s="23"/>
    </row>
    <row r="46" spans="1:24" ht="18" customHeight="1" x14ac:dyDescent="0.35">
      <c r="A46" s="18"/>
      <c r="B46" s="13"/>
      <c r="C46" s="13"/>
      <c r="D46" s="13"/>
      <c r="E46" s="13"/>
      <c r="F46" s="13"/>
      <c r="G46" s="13"/>
      <c r="H46" s="13"/>
      <c r="I46" s="13"/>
      <c r="J46" s="13"/>
      <c r="K46" s="13"/>
      <c r="L46" s="13"/>
      <c r="M46" s="13"/>
      <c r="N46" s="13"/>
      <c r="O46" s="13"/>
      <c r="P46" s="13"/>
      <c r="Q46" s="13"/>
      <c r="R46" s="13"/>
      <c r="S46" s="13"/>
      <c r="T46" s="13"/>
      <c r="U46" s="13"/>
      <c r="V46" s="13"/>
      <c r="W46" s="13"/>
      <c r="X46" s="23"/>
    </row>
    <row r="47" spans="1:24" ht="18" customHeight="1" x14ac:dyDescent="0.3">
      <c r="A47" s="30" t="s">
        <v>46</v>
      </c>
      <c r="B47" s="31"/>
      <c r="C47" s="31"/>
      <c r="D47" s="31"/>
      <c r="E47" s="31"/>
      <c r="F47" s="31"/>
      <c r="G47" s="31"/>
      <c r="H47" s="31"/>
      <c r="I47" s="31"/>
      <c r="J47" s="31"/>
      <c r="K47" s="31"/>
      <c r="L47" s="31"/>
      <c r="M47" s="31"/>
      <c r="N47" s="31"/>
      <c r="O47" s="31"/>
      <c r="P47" s="31"/>
      <c r="Q47" s="31"/>
      <c r="R47" s="31"/>
      <c r="S47" s="31"/>
      <c r="T47" s="31"/>
      <c r="U47" s="31"/>
      <c r="V47" s="31"/>
      <c r="W47" s="31"/>
      <c r="X47" s="23"/>
    </row>
    <row r="48" spans="1:24" ht="18" customHeight="1" x14ac:dyDescent="0.3">
      <c r="A48" s="30" t="s">
        <v>47</v>
      </c>
      <c r="B48" s="31"/>
      <c r="C48" s="31"/>
      <c r="D48" s="31"/>
      <c r="E48" s="31"/>
      <c r="F48" s="31"/>
      <c r="G48" s="31"/>
      <c r="H48" s="31"/>
      <c r="I48" s="31"/>
      <c r="J48" s="31"/>
      <c r="K48" s="31"/>
      <c r="L48" s="31"/>
      <c r="M48" s="31"/>
      <c r="N48" s="31"/>
      <c r="O48" s="31"/>
      <c r="P48" s="31"/>
      <c r="Q48" s="31"/>
      <c r="R48" s="31"/>
      <c r="S48" s="31"/>
      <c r="T48" s="31"/>
      <c r="U48" s="31"/>
      <c r="V48" s="31"/>
      <c r="W48" s="31"/>
      <c r="X48" s="23"/>
    </row>
    <row r="49" spans="1:24" ht="18.600000000000001" customHeight="1" x14ac:dyDescent="0.3">
      <c r="A49" s="30" t="s">
        <v>48</v>
      </c>
      <c r="B49" s="31"/>
      <c r="C49" s="31"/>
      <c r="D49" s="31"/>
      <c r="E49" s="31"/>
      <c r="F49" s="31"/>
      <c r="G49" s="31"/>
      <c r="H49" s="31"/>
      <c r="I49" s="31"/>
      <c r="J49" s="31"/>
      <c r="K49" s="31"/>
      <c r="L49" s="31"/>
      <c r="M49" s="31"/>
      <c r="N49" s="31"/>
      <c r="O49" s="31"/>
      <c r="P49" s="31"/>
      <c r="Q49" s="31"/>
      <c r="R49" s="31"/>
      <c r="S49" s="31"/>
      <c r="T49" s="31"/>
      <c r="U49" s="31"/>
      <c r="V49" s="31"/>
      <c r="W49" s="31"/>
      <c r="X49" s="19"/>
    </row>
    <row r="50" spans="1:24" ht="18" customHeight="1" x14ac:dyDescent="0.3">
      <c r="A50" s="30" t="s">
        <v>49</v>
      </c>
      <c r="B50" s="31"/>
      <c r="C50" s="31"/>
      <c r="D50" s="31"/>
      <c r="E50" s="31"/>
      <c r="F50" s="31"/>
      <c r="G50" s="31"/>
      <c r="H50" s="31"/>
      <c r="I50" s="31"/>
      <c r="J50" s="31"/>
      <c r="K50" s="31"/>
      <c r="L50" s="31"/>
      <c r="M50" s="31"/>
      <c r="N50" s="31"/>
      <c r="O50" s="31"/>
      <c r="P50" s="31"/>
      <c r="Q50" s="31"/>
      <c r="R50" s="31"/>
      <c r="S50" s="31"/>
      <c r="T50" s="31"/>
      <c r="U50" s="31"/>
      <c r="V50" s="31"/>
      <c r="W50" s="31"/>
      <c r="X50" s="32"/>
    </row>
    <row r="51" spans="1:24" x14ac:dyDescent="0.3">
      <c r="A51" s="17"/>
      <c r="B51" s="12"/>
      <c r="C51" s="12"/>
      <c r="D51" s="12"/>
      <c r="E51" s="12"/>
      <c r="F51" s="12"/>
      <c r="G51" s="12"/>
      <c r="H51" s="12"/>
      <c r="I51" s="12"/>
      <c r="J51" s="12"/>
      <c r="K51" s="12"/>
      <c r="L51" s="12"/>
      <c r="M51" s="12"/>
      <c r="N51" s="12"/>
      <c r="O51" s="12"/>
      <c r="P51" s="12"/>
      <c r="Q51" s="12"/>
      <c r="R51" s="12"/>
      <c r="S51" s="12"/>
      <c r="T51" s="12"/>
      <c r="U51" s="12"/>
      <c r="V51" s="12"/>
      <c r="W51" s="12"/>
      <c r="X51" s="16"/>
    </row>
    <row r="52" spans="1:24" x14ac:dyDescent="0.3">
      <c r="A52" s="17"/>
      <c r="B52" s="12"/>
      <c r="C52" s="12"/>
      <c r="D52" s="12"/>
      <c r="E52" s="12"/>
      <c r="F52" s="12"/>
      <c r="G52" s="12"/>
      <c r="H52" s="12"/>
      <c r="I52" s="12"/>
      <c r="J52" s="12"/>
      <c r="K52" s="12"/>
      <c r="L52" s="12"/>
      <c r="M52" s="12"/>
      <c r="N52" s="12"/>
      <c r="O52" s="12"/>
      <c r="P52" s="12"/>
      <c r="Q52" s="12"/>
      <c r="R52" s="12"/>
      <c r="S52" s="12"/>
      <c r="T52" s="12"/>
      <c r="U52" s="12"/>
      <c r="V52" s="12"/>
      <c r="W52" s="12"/>
      <c r="X52" s="23"/>
    </row>
    <row r="53" spans="1:24" x14ac:dyDescent="0.3">
      <c r="A53" s="17"/>
      <c r="B53" s="12"/>
      <c r="C53" s="12"/>
      <c r="D53" s="12"/>
      <c r="E53" s="12"/>
      <c r="F53" s="12"/>
      <c r="G53" s="12"/>
      <c r="H53" s="12"/>
      <c r="I53" s="12"/>
      <c r="J53" s="12"/>
      <c r="K53" s="12"/>
      <c r="L53" s="12"/>
      <c r="M53" s="12"/>
      <c r="N53" s="12"/>
      <c r="O53" s="12"/>
      <c r="P53" s="12"/>
      <c r="Q53" s="12"/>
      <c r="R53" s="12"/>
      <c r="S53" s="12"/>
      <c r="T53" s="12"/>
      <c r="U53" s="12"/>
      <c r="V53" s="12"/>
      <c r="W53" s="12"/>
      <c r="X53" s="23"/>
    </row>
    <row r="54" spans="1:24" x14ac:dyDescent="0.3">
      <c r="A54" s="20"/>
      <c r="B54" s="21"/>
      <c r="C54" s="21"/>
      <c r="D54" s="21"/>
      <c r="E54" s="21"/>
      <c r="F54" s="21"/>
      <c r="G54" s="21"/>
      <c r="H54" s="21"/>
      <c r="I54" s="21"/>
      <c r="J54" s="21"/>
      <c r="K54" s="21"/>
      <c r="L54" s="21"/>
      <c r="M54" s="21"/>
      <c r="N54" s="21"/>
      <c r="O54" s="21"/>
      <c r="P54" s="21"/>
      <c r="Q54" s="21"/>
      <c r="R54" s="21"/>
      <c r="S54" s="21"/>
      <c r="T54" s="21"/>
      <c r="U54" s="21"/>
      <c r="V54" s="21"/>
      <c r="W54" s="21"/>
      <c r="X54" s="24"/>
    </row>
  </sheetData>
  <mergeCells count="5">
    <mergeCell ref="A45:W45"/>
    <mergeCell ref="A47:W47"/>
    <mergeCell ref="A48:W48"/>
    <mergeCell ref="A49:W49"/>
    <mergeCell ref="A50:X5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FP&amp;A Summary</vt:lpstr>
      <vt:lpstr>Pivot_category driver summary</vt:lpstr>
      <vt:lpstr>Pivot_Month_Trend</vt:lpstr>
      <vt:lpstr>Pivot_KPI 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singh</dc:creator>
  <cp:lastModifiedBy>harshita singh</cp:lastModifiedBy>
  <dcterms:created xsi:type="dcterms:W3CDTF">2015-06-05T18:17:20Z</dcterms:created>
  <dcterms:modified xsi:type="dcterms:W3CDTF">2026-02-04T08:19:05Z</dcterms:modified>
</cp:coreProperties>
</file>